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isez-moi" sheetId="1" state="visible" r:id="rId1"/>
    <sheet xmlns:r="http://schemas.openxmlformats.org/officeDocument/2006/relationships" name="Catalogue" sheetId="2" state="visible" r:id="rId2"/>
    <sheet xmlns:r="http://schemas.openxmlformats.org/officeDocument/2006/relationships" name="Rattachement categories" sheetId="3" state="visible" r:id="rId3"/>
    <sheet xmlns:r="http://schemas.openxmlformats.org/officeDocument/2006/relationships" name="Feuille de route" sheetId="4" state="visible" r:id="rId4"/>
    <sheet xmlns:r="http://schemas.openxmlformats.org/officeDocument/2006/relationships" name="Nomenclature" sheetId="5" state="visible" r:id="rId5"/>
    <sheet xmlns:r="http://schemas.openxmlformats.org/officeDocument/2006/relationships" name="Synthese" sheetId="6" state="visible" r:id="rId6"/>
    <sheet xmlns:r="http://schemas.openxmlformats.org/officeDocument/2006/relationships" name="Résultats électoraux" sheetId="7" state="visible" r:id="rId7"/>
  </sheets>
  <definedNames>
    <definedName name="_xlnm._FilterDatabase" localSheetId="1" hidden="1">'Catalogue'!$A$1:$Q$67</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9"/>
    </font>
    <font>
      <name val="Arial"/>
      <charset val="1"/>
      <family val="0"/>
      <sz val="10"/>
    </font>
    <font>
      <name val="Arial"/>
      <charset val="1"/>
      <family val="0"/>
      <b val="1"/>
      <color rgb="FF1F3864"/>
      <sz val="11"/>
    </font>
    <font>
      <name val="Arial"/>
      <charset val="1"/>
      <family val="0"/>
      <b val="1"/>
      <color rgb="FFFFFFFF"/>
      <sz val="10"/>
    </font>
    <font>
      <name val="Arial"/>
      <charset val="1"/>
      <family val="0"/>
      <b val="1"/>
      <sz val="10"/>
    </font>
    <font>
      <name val="Arial"/>
      <charset val="1"/>
      <family val="0"/>
      <color rgb="FF808080"/>
      <sz val="10"/>
    </font>
  </fonts>
  <fills count="14">
    <fill>
      <patternFill/>
    </fill>
    <fill>
      <patternFill patternType="gray125"/>
    </fill>
    <fill>
      <patternFill patternType="solid">
        <fgColor rgb="FF1F3864"/>
        <bgColor rgb="FF333333"/>
      </patternFill>
    </fill>
    <fill>
      <patternFill patternType="solid">
        <fgColor rgb="FFDDEBF7"/>
        <bgColor rgb="FFE4DFEF"/>
      </patternFill>
    </fill>
    <fill>
      <patternFill patternType="solid">
        <fgColor rgb="FFC6EFCE"/>
        <bgColor rgb="FFD9EAD3"/>
      </patternFill>
    </fill>
    <fill>
      <patternFill patternType="solid">
        <fgColor rgb="FFFFD966"/>
        <bgColor rgb="FFFFE699"/>
      </patternFill>
    </fill>
    <fill>
      <patternFill patternType="solid">
        <fgColor rgb="FFD9EAD3"/>
        <bgColor rgb="FFE2EFDA"/>
      </patternFill>
    </fill>
    <fill>
      <patternFill patternType="solid">
        <fgColor rgb="FFF2F2F2"/>
        <bgColor rgb="FFE2EFDA"/>
      </patternFill>
    </fill>
    <fill>
      <patternFill patternType="solid">
        <fgColor rgb="FFFFF2CC"/>
        <bgColor rgb="FFFCE4D6"/>
      </patternFill>
    </fill>
    <fill>
      <patternFill patternType="solid">
        <fgColor rgb="FFFFE699"/>
        <bgColor rgb="FFFFF2CC"/>
      </patternFill>
    </fill>
    <fill>
      <patternFill patternType="solid">
        <fgColor rgb="FFE2EFDA"/>
        <bgColor rgb="FFD9EAD3"/>
      </patternFill>
    </fill>
    <fill>
      <patternFill patternType="solid">
        <fgColor rgb="FFF8CBAD"/>
        <bgColor rgb="FFFFE699"/>
      </patternFill>
    </fill>
    <fill>
      <patternFill patternType="solid">
        <fgColor rgb="FFFCE4D6"/>
        <bgColor rgb="FFFFF2CC"/>
      </patternFill>
    </fill>
    <fill>
      <patternFill patternType="solid">
        <fgColor rgb="FFE4DFEF"/>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6">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9"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center" vertical="top" wrapText="1"/>
    </xf>
    <xf numFmtId="0" fontId="6" fillId="5" borderId="1" applyAlignment="1" pivotButton="0" quotePrefix="0" xfId="0">
      <alignment horizontal="center" vertical="top" wrapText="1"/>
    </xf>
    <xf numFmtId="0" fontId="6" fillId="6" borderId="1" applyAlignment="1" pivotButton="0" quotePrefix="0" xfId="0">
      <alignment horizontal="center" vertical="top" wrapText="1"/>
    </xf>
    <xf numFmtId="0" fontId="10" fillId="7" borderId="1" applyAlignment="1" pivotButton="0" quotePrefix="0" xfId="0">
      <alignment horizontal="center" vertical="top" wrapText="1"/>
    </xf>
    <xf numFmtId="0" fontId="6" fillId="8" borderId="1" applyAlignment="1" pivotButton="0" quotePrefix="0" xfId="0">
      <alignment horizontal="center" vertical="top" wrapText="1"/>
    </xf>
    <xf numFmtId="0" fontId="6" fillId="9" borderId="1" applyAlignment="1" pivotButton="0" quotePrefix="0" xfId="0">
      <alignment horizontal="center" vertical="top" wrapText="1"/>
    </xf>
    <xf numFmtId="0" fontId="6" fillId="10" borderId="1" applyAlignment="1" pivotButton="0" quotePrefix="0" xfId="0">
      <alignment horizontal="general" vertical="top" wrapText="1"/>
    </xf>
    <xf numFmtId="0" fontId="6" fillId="0" borderId="1" applyAlignment="1" pivotButton="0" quotePrefix="0" xfId="0">
      <alignment horizontal="center" vertical="top" wrapText="1"/>
    </xf>
    <xf numFmtId="0" fontId="6" fillId="11" borderId="1" applyAlignment="1" pivotButton="0" quotePrefix="0" xfId="0">
      <alignment horizontal="center" vertical="top" wrapText="1"/>
    </xf>
    <xf numFmtId="0" fontId="6" fillId="8" borderId="1" applyAlignment="1" pivotButton="0" quotePrefix="0" xfId="0">
      <alignment horizontal="general" vertical="top" wrapText="1"/>
    </xf>
    <xf numFmtId="0" fontId="6" fillId="12" borderId="1" applyAlignment="1" pivotButton="0" quotePrefix="0" xfId="0">
      <alignment horizontal="general" vertical="top" wrapText="1"/>
    </xf>
    <xf numFmtId="0" fontId="6" fillId="13" borderId="1"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pivotButton="0" quotePrefix="0" xfId="0">
      <alignment horizontal="general" vertical="bottom"/>
    </xf>
    <xf numFmtId="0" fontId="6" fillId="3" borderId="1" applyAlignment="1" pivotButton="0" quotePrefix="0" xfId="0">
      <alignment horizontal="left" vertical="top" wrapText="1"/>
    </xf>
    <xf numFmtId="0" fontId="6" fillId="0" borderId="1" applyAlignment="1" pivotButton="0" quotePrefix="0" xfId="0">
      <alignment horizontal="left" vertical="top" wrapText="1"/>
    </xf>
    <xf numFmtId="0" fontId="6" fillId="10" borderId="1" applyAlignment="1" pivotButton="0" quotePrefix="0" xfId="0">
      <alignment horizontal="left" vertical="top" wrapText="1"/>
    </xf>
    <xf numFmtId="0" fontId="6" fillId="8" borderId="1" applyAlignment="1" pivotButton="0" quotePrefix="0" xfId="0">
      <alignment horizontal="left" vertical="top" wrapText="1"/>
    </xf>
    <xf numFmtId="0" fontId="6" fillId="12" borderId="1" applyAlignment="1" pivotButton="0" quotePrefix="0" xfId="0">
      <alignment horizontal="left" vertical="top" wrapText="1"/>
    </xf>
    <xf numFmtId="0" fontId="6" fillId="7" borderId="1" applyAlignment="1" pivotButton="0" quotePrefix="0" xfId="0">
      <alignment horizontal="center" vertical="top" wrapText="1"/>
    </xf>
    <xf numFmtId="0" fontId="6" fillId="13" borderId="1" applyAlignment="1" pivotButton="0" quotePrefix="0" xfId="0">
      <alignment horizontal="left" vertical="top" wrapText="1"/>
    </xf>
    <xf numFmtId="0" fontId="8" fillId="2" borderId="0" applyAlignment="1" pivotButton="0" quotePrefix="0" xfId="0">
      <alignment horizontal="center" vertical="center"/>
    </xf>
    <xf numFmtId="0" fontId="6" fillId="4" borderId="1" applyAlignment="1" pivotButton="0" quotePrefix="0" xfId="0">
      <alignment horizontal="general" vertical="top" wrapText="1"/>
    </xf>
    <xf numFmtId="0" fontId="6" fillId="6" borderId="1" applyAlignment="1" pivotButton="0" quotePrefix="0" xfId="0">
      <alignment horizontal="general" vertical="top" wrapText="1"/>
    </xf>
    <xf numFmtId="0" fontId="6" fillId="5" borderId="1" applyAlignment="1" pivotButton="0" quotePrefix="0" xfId="0">
      <alignment horizontal="general" vertical="top" wrapText="1"/>
    </xf>
    <xf numFmtId="0" fontId="6" fillId="9" borderId="1" applyAlignment="1" pivotButton="0" quotePrefix="0" xfId="0">
      <alignment horizontal="general" vertical="top" wrapText="1"/>
    </xf>
    <xf numFmtId="0" fontId="6" fillId="7" borderId="1" applyAlignment="1" pivotButton="0" quotePrefix="0" xfId="0">
      <alignment horizontal="general" vertical="top" wrapText="1"/>
    </xf>
    <xf numFmtId="0" fontId="5" fillId="0" borderId="0" applyAlignment="1" pivotButton="0" quotePrefix="0" xfId="0">
      <alignment horizontal="general" vertical="bottom"/>
    </xf>
    <xf numFmtId="0" fontId="6" fillId="4" borderId="1" applyAlignment="1" pivotButton="0" quotePrefix="0" xfId="0">
      <alignment horizontal="general" vertical="bottom"/>
    </xf>
    <xf numFmtId="0" fontId="6" fillId="0" borderId="1" applyAlignment="1" pivotButton="0" quotePrefix="0" xfId="0">
      <alignment horizontal="center" vertical="bottom"/>
    </xf>
    <xf numFmtId="0" fontId="6" fillId="6" borderId="1" applyAlignment="1" pivotButton="0" quotePrefix="0" xfId="0">
      <alignment horizontal="general" vertical="bottom"/>
    </xf>
    <xf numFmtId="0" fontId="6" fillId="8" borderId="1" applyAlignment="1" pivotButton="0" quotePrefix="0" xfId="0">
      <alignment horizontal="general" vertical="bottom"/>
    </xf>
    <xf numFmtId="0" fontId="6" fillId="5" borderId="1" applyAlignment="1" pivotButton="0" quotePrefix="0" xfId="0">
      <alignment horizontal="general" vertical="bottom"/>
    </xf>
    <xf numFmtId="0" fontId="6" fillId="9" borderId="1" applyAlignment="1" pivotButton="0" quotePrefix="0" xfId="0">
      <alignment horizontal="general" vertical="bottom"/>
    </xf>
    <xf numFmtId="0" fontId="6" fillId="7" borderId="1" applyAlignment="1" pivotButton="0" quotePrefix="0" xfId="0">
      <alignment horizontal="general" vertical="bottom"/>
    </xf>
    <xf numFmtId="0" fontId="6" fillId="0" borderId="1"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center" vertical="bottom"/>
    </xf>
    <xf numFmtId="0" fontId="7" fillId="0" borderId="0"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wrapText="1"/>
    </xf>
    <xf numFmtId="0" fontId="6" fillId="10" borderId="1" applyAlignment="1" pivotButton="0" quotePrefix="0" xfId="0">
      <alignment horizontal="general" vertical="bottom"/>
    </xf>
    <xf numFmtId="0" fontId="6" fillId="8" borderId="1" applyAlignment="1" pivotButton="0" quotePrefix="0" xfId="0">
      <alignment horizontal="general" vertical="bottom" wrapText="1"/>
    </xf>
    <xf numFmtId="0" fontId="6" fillId="5" borderId="1" applyAlignment="1" pivotButton="0" quotePrefix="0" xfId="0">
      <alignment horizontal="general" vertical="bottom" wrapText="1"/>
    </xf>
    <xf numFmtId="0" fontId="6" fillId="12" borderId="1" applyAlignment="1" pivotButton="0" quotePrefix="0" xfId="0">
      <alignment horizontal="general" vertical="bottom"/>
    </xf>
    <xf numFmtId="0" fontId="6" fillId="11" borderId="1" applyAlignment="1" pivotButton="0" quotePrefix="0" xfId="0">
      <alignment horizontal="general" vertical="bottom" wrapText="1"/>
    </xf>
    <xf numFmtId="0" fontId="6" fillId="13" borderId="1" applyAlignment="1" pivotButton="0" quotePrefix="0" xfId="0">
      <alignment horizontal="general" vertical="bottom"/>
    </xf>
    <xf numFmtId="0" fontId="9"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center" vertical="top" wrapText="1"/>
    </xf>
    <xf numFmtId="0" fontId="6" fillId="5" borderId="1" applyAlignment="1" pivotButton="0" quotePrefix="0" xfId="0">
      <alignment horizontal="center" vertical="top" wrapText="1"/>
    </xf>
    <xf numFmtId="0" fontId="6" fillId="6" borderId="1" applyAlignment="1" pivotButton="0" quotePrefix="0" xfId="0">
      <alignment horizontal="center" vertical="top" wrapText="1"/>
    </xf>
    <xf numFmtId="0" fontId="10" fillId="7" borderId="1" applyAlignment="1" pivotButton="0" quotePrefix="0" xfId="0">
      <alignment horizontal="center" vertical="top" wrapText="1"/>
    </xf>
    <xf numFmtId="0" fontId="6" fillId="8" borderId="1" applyAlignment="1" pivotButton="0" quotePrefix="0" xfId="0">
      <alignment horizontal="center" vertical="top" wrapText="1"/>
    </xf>
    <xf numFmtId="0" fontId="6" fillId="9" borderId="1" applyAlignment="1" pivotButton="0" quotePrefix="0" xfId="0">
      <alignment horizontal="center" vertical="top" wrapText="1"/>
    </xf>
    <xf numFmtId="0" fontId="6" fillId="10" borderId="1" applyAlignment="1" pivotButton="0" quotePrefix="0" xfId="0">
      <alignment horizontal="general" vertical="top" wrapText="1"/>
    </xf>
    <xf numFmtId="0" fontId="6" fillId="0" borderId="1" applyAlignment="1" pivotButton="0" quotePrefix="0" xfId="0">
      <alignment horizontal="center" vertical="top" wrapText="1"/>
    </xf>
    <xf numFmtId="0" fontId="6" fillId="11" borderId="1" applyAlignment="1" pivotButton="0" quotePrefix="0" xfId="0">
      <alignment horizontal="center" vertical="top" wrapText="1"/>
    </xf>
    <xf numFmtId="0" fontId="6" fillId="8" borderId="1" applyAlignment="1" pivotButton="0" quotePrefix="0" xfId="0">
      <alignment horizontal="general" vertical="top" wrapText="1"/>
    </xf>
    <xf numFmtId="0" fontId="6" fillId="12" borderId="1" applyAlignment="1" pivotButton="0" quotePrefix="0" xfId="0">
      <alignment horizontal="general" vertical="top" wrapText="1"/>
    </xf>
    <xf numFmtId="0" fontId="6" fillId="13" borderId="1"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pivotButton="0" quotePrefix="0" xfId="0">
      <alignment horizontal="general" vertical="bottom"/>
    </xf>
    <xf numFmtId="0" fontId="6" fillId="3" borderId="1" applyAlignment="1" pivotButton="0" quotePrefix="0" xfId="0">
      <alignment horizontal="left" vertical="top" wrapText="1"/>
    </xf>
    <xf numFmtId="0" fontId="6" fillId="0" borderId="1" applyAlignment="1" pivotButton="0" quotePrefix="0" xfId="0">
      <alignment horizontal="left" vertical="top" wrapText="1"/>
    </xf>
    <xf numFmtId="0" fontId="6" fillId="10" borderId="1" applyAlignment="1" pivotButton="0" quotePrefix="0" xfId="0">
      <alignment horizontal="left" vertical="top" wrapText="1"/>
    </xf>
    <xf numFmtId="0" fontId="6" fillId="8" borderId="1" applyAlignment="1" pivotButton="0" quotePrefix="0" xfId="0">
      <alignment horizontal="left" vertical="top" wrapText="1"/>
    </xf>
    <xf numFmtId="0" fontId="6" fillId="12" borderId="1" applyAlignment="1" pivotButton="0" quotePrefix="0" xfId="0">
      <alignment horizontal="left" vertical="top" wrapText="1"/>
    </xf>
    <xf numFmtId="0" fontId="6" fillId="7" borderId="1" applyAlignment="1" pivotButton="0" quotePrefix="0" xfId="0">
      <alignment horizontal="center" vertical="top" wrapText="1"/>
    </xf>
    <xf numFmtId="0" fontId="6" fillId="13" borderId="1" applyAlignment="1" pivotButton="0" quotePrefix="0" xfId="0">
      <alignment horizontal="left" vertical="top" wrapText="1"/>
    </xf>
    <xf numFmtId="0" fontId="8" fillId="2" borderId="0" applyAlignment="1" pivotButton="0" quotePrefix="0" xfId="0">
      <alignment horizontal="center" vertical="center"/>
    </xf>
    <xf numFmtId="0" fontId="6" fillId="4" borderId="1" applyAlignment="1" pivotButton="0" quotePrefix="0" xfId="0">
      <alignment horizontal="general" vertical="top" wrapText="1"/>
    </xf>
    <xf numFmtId="0" fontId="6" fillId="6" borderId="1" applyAlignment="1" pivotButton="0" quotePrefix="0" xfId="0">
      <alignment horizontal="general" vertical="top" wrapText="1"/>
    </xf>
    <xf numFmtId="0" fontId="6" fillId="5" borderId="1" applyAlignment="1" pivotButton="0" quotePrefix="0" xfId="0">
      <alignment horizontal="general" vertical="top" wrapText="1"/>
    </xf>
    <xf numFmtId="0" fontId="6" fillId="9" borderId="1" applyAlignment="1" pivotButton="0" quotePrefix="0" xfId="0">
      <alignment horizontal="general" vertical="top" wrapText="1"/>
    </xf>
    <xf numFmtId="0" fontId="6" fillId="7" borderId="1" applyAlignment="1" pivotButton="0" quotePrefix="0" xfId="0">
      <alignment horizontal="general" vertical="top" wrapText="1"/>
    </xf>
    <xf numFmtId="0" fontId="6" fillId="4" borderId="1" applyAlignment="1" pivotButton="0" quotePrefix="0" xfId="0">
      <alignment horizontal="general" vertical="bottom"/>
    </xf>
    <xf numFmtId="0" fontId="6" fillId="0" borderId="1" applyAlignment="1" pivotButton="0" quotePrefix="0" xfId="0">
      <alignment horizontal="center" vertical="bottom"/>
    </xf>
    <xf numFmtId="0" fontId="6" fillId="6" borderId="1" applyAlignment="1" pivotButton="0" quotePrefix="0" xfId="0">
      <alignment horizontal="general" vertical="bottom"/>
    </xf>
    <xf numFmtId="0" fontId="6" fillId="8" borderId="1" applyAlignment="1" pivotButton="0" quotePrefix="0" xfId="0">
      <alignment horizontal="general" vertical="bottom"/>
    </xf>
    <xf numFmtId="0" fontId="6" fillId="5" borderId="1" applyAlignment="1" pivotButton="0" quotePrefix="0" xfId="0">
      <alignment horizontal="general" vertical="bottom"/>
    </xf>
    <xf numFmtId="0" fontId="6" fillId="9" borderId="1" applyAlignment="1" pivotButton="0" quotePrefix="0" xfId="0">
      <alignment horizontal="general" vertical="bottom"/>
    </xf>
    <xf numFmtId="0" fontId="6" fillId="7" borderId="1" applyAlignment="1" pivotButton="0" quotePrefix="0" xfId="0">
      <alignment horizontal="general" vertical="bottom"/>
    </xf>
    <xf numFmtId="0" fontId="6" fillId="0" borderId="1" applyAlignment="1" pivotButton="0" quotePrefix="0" xfId="0">
      <alignment horizontal="general" vertical="bottom"/>
    </xf>
    <xf numFmtId="0" fontId="9" fillId="0" borderId="0" applyAlignment="1" pivotButton="0" quotePrefix="0" xfId="0">
      <alignment horizontal="general" vertical="bottom"/>
    </xf>
    <xf numFmtId="0" fontId="9" fillId="0" borderId="0" applyAlignment="1" pivotButton="0" quotePrefix="0" xfId="0">
      <alignment horizontal="center" vertical="bottom"/>
    </xf>
    <xf numFmtId="0" fontId="7" fillId="0" borderId="0"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wrapText="1"/>
    </xf>
    <xf numFmtId="0" fontId="6" fillId="10" borderId="1" applyAlignment="1" pivotButton="0" quotePrefix="0" xfId="0">
      <alignment horizontal="general" vertical="bottom"/>
    </xf>
    <xf numFmtId="0" fontId="6" fillId="8" borderId="1" applyAlignment="1" pivotButton="0" quotePrefix="0" xfId="0">
      <alignment horizontal="general" vertical="bottom" wrapText="1"/>
    </xf>
    <xf numFmtId="0" fontId="6" fillId="5" borderId="1" applyAlignment="1" pivotButton="0" quotePrefix="0" xfId="0">
      <alignment horizontal="general" vertical="bottom" wrapText="1"/>
    </xf>
    <xf numFmtId="0" fontId="6" fillId="12" borderId="1" applyAlignment="1" pivotButton="0" quotePrefix="0" xfId="0">
      <alignment horizontal="general" vertical="bottom"/>
    </xf>
    <xf numFmtId="0" fontId="6" fillId="11" borderId="1" applyAlignment="1" pivotButton="0" quotePrefix="0" xfId="0">
      <alignment horizontal="general" vertical="bottom" wrapText="1"/>
    </xf>
    <xf numFmtId="0" fontId="6" fillId="13" borderId="1" applyAlignment="1" pivotButton="0" quotePrefix="0" xfId="0">
      <alignment horizontal="general" vertical="bottom"/>
    </xf>
    <xf numFmtId="0" fontId="9" fillId="0" borderId="1" applyAlignment="1" pivotButton="0" quotePrefix="0" xfId="0">
      <alignment horizontal="left" vertical="top" wrapText="1"/>
    </xf>
    <xf numFmtId="0" fontId="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F"/>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C6EFCE"/>
          <bgColor rgb="FF000000"/>
        </patternFill>
      </fill>
    </dxf>
    <dxf>
      <fill>
        <patternFill patternType="solid">
          <fgColor rgb="FFD9EAD3"/>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808080"/>
          <bgColor rgb="FF000000"/>
        </patternFill>
      </fill>
    </dxf>
    <dxf>
      <fill>
        <patternFill patternType="solid">
          <fgColor rgb="FFFFD966"/>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F"/>
      <rgbColor rgb="FF000080"/>
      <rgbColor rgb="FFFF00FF"/>
      <rgbColor rgb="FFFFFF00"/>
      <rgbColor rgb="FF00FFFF"/>
      <rgbColor rgb="FF800080"/>
      <rgbColor rgb="FF800000"/>
      <rgbColor rgb="FF008080"/>
      <rgbColor rgb="FF0000FF"/>
      <rgbColor rgb="FF00CCFF"/>
      <rgbColor rgb="FFE2EFDA"/>
      <rgbColor rgb="FFC6EFCE"/>
      <rgbColor rgb="FFFFE699"/>
      <rgbColor rgb="FFD9EAD3"/>
      <rgbColor rgb="FFFCE4D6"/>
      <rgbColor rgb="FFF2F2F2"/>
      <rgbColor rgb="FFF8CBAD"/>
      <rgbColor rgb="FF3366FF"/>
      <rgbColor rgb="FF33CCCC"/>
      <rgbColor rgb="FF99CC00"/>
      <rgbColor rgb="FFFFD966"/>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5" customWidth="1" style="57" min="1" max="1"/>
  </cols>
  <sheetData>
    <row r="1" ht="19.5" customHeight="1" s="58">
      <c r="A1" s="59" t="inlineStr">
        <is>
          <t>Catalogue des sources open data – Portail territorial (commune / canton / EPCI)</t>
        </is>
      </c>
    </row>
    <row r="2" ht="19.5" customHeight="1" s="58">
      <c r="A2" s="60" t="inlineStr">
        <is>
          <t>Périmètre de cette version : 5 catégories sur les 16 cibles. Structure et nomenclature figées pour permettre l'ajout des 12 autres sans reprise du modèle.</t>
        </is>
      </c>
    </row>
    <row r="3" ht="7.5" customHeight="1" s="58">
      <c r="A3" s="61" t="n"/>
    </row>
    <row r="4" ht="19.5" customHeight="1" s="58">
      <c r="A4" s="62" t="inlineStr">
        <is>
          <t>1. À quoi sert ce document</t>
        </is>
      </c>
    </row>
    <row r="5" ht="27.75" customHeight="1" s="58">
      <c r="A5" s="61" t="inlineStr">
        <is>
          <t>Il recense, pour chaque donnée envisagée, la source publique réelle, la maille à laquelle elle est effectivement publiée, et la possibilité ou non de la restituer aux 3 niveaux du site.</t>
        </is>
      </c>
    </row>
    <row r="6" ht="27.75" customHeight="1" s="58">
      <c r="A6" s="61" t="inlineStr">
        <is>
          <t>Il sert de base au tri : une ligne dont les 3 colonnes de niveau sont à « Non » ou « Partiel » est candidate à l'abandon ou à un affichage dégradé.</t>
        </is>
      </c>
    </row>
    <row r="7" ht="27.75" customHeight="1" s="58">
      <c r="A7" s="61" t="inlineStr">
        <is>
          <t>Il alimente directement la table « indicateur » de la base : une ligne du catalogue = un enregistrement.</t>
        </is>
      </c>
    </row>
    <row r="8" ht="7.5" customHeight="1" s="58">
      <c r="A8" s="61" t="n"/>
    </row>
    <row r="9" ht="19.5" customHeight="1" s="58">
      <c r="A9" s="62" t="inlineStr">
        <is>
          <t>2. Règle retenue (validée) : on n'affiche que l'existant et le pertinent</t>
        </is>
      </c>
    </row>
    <row r="10" ht="27.75" customHeight="1" s="58">
      <c r="A10" s="61" t="inlineStr">
        <is>
          <t>Aucune valeur n'est reconstituée par approximation. Si un indicateur n'existe pas à un niveau, il n'apparaît pas dans l'interface de ce niveau.</t>
        </is>
      </c>
    </row>
    <row r="11" ht="27.75" customHeight="1" s="58">
      <c r="A11" s="61" t="inlineStr">
        <is>
          <t>Conséquence à assumer côté UI : le nombre de fiches varie d'un niveau à l'autre. La fiche « canton » sera nettement plus courte que la fiche « commune ». C'est un choix de justesse, pas un défaut.</t>
        </is>
      </c>
    </row>
    <row r="12" ht="27.75" customHeight="1" s="58">
      <c r="A12" s="61" t="inlineStr">
        <is>
          <t>Conséquence côté modèle : la disponibilité par niveau est une propriété de l'indicateur, stockée en base, et non une règle codée en dur dans le front.</t>
        </is>
      </c>
    </row>
    <row r="13" ht="7.5" customHeight="1" s="58">
      <c r="A13" s="61" t="n"/>
    </row>
    <row r="14" ht="19.5" customHeight="1" s="58">
      <c r="A14" s="62" t="inlineStr">
        <is>
          <t>3. Les quatre modes d'obtention d'une valeur</t>
        </is>
      </c>
    </row>
    <row r="15" ht="27.75" customHeight="1" s="58">
      <c r="A15" s="61" t="inlineStr">
        <is>
          <t>Natif — la source publie déjà la valeur à ce niveau. Aucun calcul. C'est le cas idéal.</t>
        </is>
      </c>
    </row>
    <row r="16" ht="27.75" customHeight="1" s="58">
      <c r="A16" s="61" t="inlineStr">
        <is>
          <t>Agrégeable — la valeur est un effectif (population, nombre de naissances, nombre de logements) : la somme des communes est mathématiquement exacte.</t>
        </is>
      </c>
    </row>
    <row r="17" ht="27.75" customHeight="1" s="58">
      <c r="A17" s="61" t="inlineStr">
        <is>
          <t>Recalculé — la valeur est un taux, une moyenne, une densité ou un ratio : il faut refaire le calcul à partir du numérateur et du dénominateur agrégés. Sommer ou moyenner les valeurs communales donne un résultat faux.</t>
        </is>
      </c>
    </row>
    <row r="18" ht="27.75" customHeight="1" s="58">
      <c r="A18" s="61" t="inlineStr">
        <is>
          <t>Non calculable — médianes, déciles, indices de Gini, espérances de vie : ces valeurs ne s'agrègent pas, même avec les effectifs. Soit la source les publie au niveau voulu, soit on ne les affiche pas.</t>
        </is>
      </c>
    </row>
    <row r="19" ht="7.5" customHeight="1" s="58">
      <c r="A19" s="61" t="n"/>
    </row>
    <row r="20" ht="19.5" customHeight="1" s="58">
      <c r="A20" s="62" t="inlineStr">
        <is>
          <t>4. Le cas particulier du canton</t>
        </is>
      </c>
    </row>
    <row r="21" ht="27.75" customHeight="1" s="58">
      <c r="A21" s="61" t="inlineStr">
        <is>
          <t>Depuis le redécoupage de 2015, une commune de plus de 3 500 habitants peut être répartie entre plusieurs cantons. L'agrégation « somme des communes du canton » est donc fausse pour ces communes.</t>
        </is>
      </c>
    </row>
    <row r="22" ht="27.75" customHeight="1" s="58">
      <c r="A22" s="61" t="inlineStr">
        <is>
          <t>Très peu de producteurs publient nativement au canton : essentiellement les résultats des élections départementales et certaines séries INSEE.</t>
        </is>
      </c>
    </row>
    <row r="23" ht="27.75" customHeight="1" s="58">
      <c r="A23" s="61" t="inlineStr">
        <is>
          <t>Statut « Reconstitué » dans ce catalogue = la valeur est calculable par somme des communes entières, mais devient inexacte dès qu'une commune scindée est présente dans le canton.</t>
        </is>
      </c>
    </row>
    <row r="24" ht="27.75" customHeight="1" s="58">
      <c r="A24" s="61" t="inlineStr">
        <is>
          <t>Décision à prendre en amont du développement : soit le canton n'expose que les indicateurs « Natif », soit il expose aussi les « Reconstitué » avec un avertissement explicite affiché sur la fiche.</t>
        </is>
      </c>
    </row>
    <row r="25" ht="7.5" customHeight="1" s="58">
      <c r="A25" s="61" t="n"/>
    </row>
    <row r="26" ht="19.5" customHeight="1" s="58">
      <c r="A26" s="62" t="inlineStr">
        <is>
          <t>5. Points de vigilance transverses</t>
        </is>
      </c>
    </row>
    <row r="27" ht="27.75" customHeight="1" s="58">
      <c r="A27" s="61" t="inlineStr">
        <is>
          <t>Millésimes — les valeurs de la colonne « Millésime » sont indicatives et à revalider au moment de l'intégration. Le rythme réel de publication prime sur toute date écrite ici.</t>
        </is>
      </c>
    </row>
    <row r="28" ht="27.75" customHeight="1" s="58">
      <c r="A28" s="61" t="inlineStr">
        <is>
          <t>Secret statistique — l'INSEE ne diffuse pas certains indicateurs (revenus, pauvreté, inégalités) pour les communes de petite taille. Prévoir un état « non diffusé » distinct de « valeur nulle » et distinct de « non chargé ».</t>
        </is>
      </c>
    </row>
    <row r="29" ht="27.75" customHeight="1" s="58">
      <c r="A29" s="61" t="inlineStr">
        <is>
          <t>Code Officiel Géographique — les communes fusionnent, les EPCI se recomposent. Stocker le millésime du COG utilisé et prévoir une table de correspondance historique, sinon les séries temporelles se cassent silencieusement.</t>
        </is>
      </c>
    </row>
    <row r="30" ht="27.75" customHeight="1" s="58">
      <c r="A30" s="61" t="inlineStr">
        <is>
          <t>Codes postaux — ils ne se superposent ni aux communes ni aux cantons. À traiter comme un attribut de recherche, jamais comme une maille d'agrégation.</t>
        </is>
      </c>
    </row>
    <row r="31" ht="27.75" customHeight="1" s="58">
      <c r="A31" s="61" t="inlineStr">
        <is>
          <t>Licences — la colonne est indicative. Vérifier au cas par cas avant mise en production, notamment l'obligation d'attribution ODbL et les conditions d'usage des fonds de carte.</t>
        </is>
      </c>
    </row>
    <row r="32" ht="7.5" customHeight="1" s="58">
      <c r="A32" s="61" t="n"/>
    </row>
    <row r="33" ht="19.5" customHeight="1" s="58">
      <c r="A33" s="62" t="inlineStr">
        <is>
          <t>6. Contenu du classeur</t>
        </is>
      </c>
    </row>
    <row r="34" ht="27.75" customHeight="1" s="58">
      <c r="A34" s="61" t="inlineStr">
        <is>
          <t>Catalogue — le recensement détaillé, une ligne par donnée. C'est l'onglet de travail.</t>
        </is>
      </c>
    </row>
    <row r="35" ht="27.75" customHeight="1" s="58">
      <c r="A35" s="61" t="inlineStr">
        <is>
          <t>Rattachement categories — gère l'appartenance d'une même donnée à plusieurs catégories (relation N-N).</t>
        </is>
      </c>
    </row>
    <row r="36" ht="27.75" customHeight="1" s="58">
      <c r="A36" s="61" t="inlineStr">
        <is>
          <t>Feuille de route — les 16 catégories cibles et leur état d'avancement.</t>
        </is>
      </c>
    </row>
    <row r="37" ht="27.75" customHeight="1" s="58">
      <c r="A37" s="61" t="inlineStr">
        <is>
          <t>Nomenclature — les valeurs autorisées pour chaque colonne. À respecter lors de l'ajout des 12 catégories restantes, sous peine de catalogue inexploitable.</t>
        </is>
      </c>
    </row>
    <row r="38" ht="27.75" customHeight="1" s="58">
      <c r="A38" s="61" t="inlineStr">
        <is>
          <t>Synthese — compteurs automatiques de couverture.</t>
        </is>
      </c>
    </row>
    <row r="40">
      <c r="A40" t="inlineStr">
        <is>
          <t>Mise à jour du 07/09/2026 : ajout de la colonne « Implanté », et de treize données mises en service depuis la version initiale — eau potable, sécheresse, nappes, rivières, risques, vigilance, agriculture biologique, écoles, équipements, élus, équipements hivernaux.</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R80"/>
  <sheetViews>
    <sheetView showFormulas="0" showGridLines="0"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9" customWidth="1" style="57" min="1" max="1"/>
    <col width="22" customWidth="1" style="57" min="2" max="2"/>
    <col width="34" customWidth="1" style="57" min="3" max="3"/>
    <col width="20" customWidth="1" style="57" min="4" max="4"/>
    <col width="34" customWidth="1" style="57" min="5" max="5"/>
    <col width="24" customWidth="1" style="57" min="6" max="6"/>
    <col width="20" customWidth="1" style="57" min="7" max="7"/>
    <col width="12" customWidth="1" style="57" min="8" max="8"/>
    <col width="13" customWidth="1" style="57" min="9" max="9"/>
    <col width="12" customWidth="1" style="57" min="10" max="10"/>
    <col width="30" customWidth="1" style="57" min="11" max="11"/>
    <col width="18" customWidth="1" style="57" min="12" max="13"/>
    <col width="26" customWidth="1" style="57" min="14" max="14"/>
    <col width="16" customWidth="1" style="57" min="15" max="15"/>
    <col width="22" customWidth="1" style="57" min="16" max="16"/>
    <col width="62" customWidth="1" style="57" min="17" max="17"/>
    <col width="22" customWidth="1" style="58" min="18" max="18"/>
  </cols>
  <sheetData>
    <row r="1" ht="33.75" customHeight="1" s="58">
      <c r="A1" s="64" t="inlineStr">
        <is>
          <t>ID</t>
        </is>
      </c>
      <c r="B1" s="64" t="inlineStr">
        <is>
          <t>Catégorie</t>
        </is>
      </c>
      <c r="C1" s="64" t="inlineStr">
        <is>
          <t>Donnée (libellé site)</t>
        </is>
      </c>
      <c r="D1" s="64" t="inlineStr">
        <is>
          <t>Producteur</t>
        </is>
      </c>
      <c r="E1" s="64" t="inlineStr">
        <is>
          <t>Jeu de données / source</t>
        </is>
      </c>
      <c r="F1" s="64" t="inlineStr">
        <is>
          <t>Accès technique</t>
        </is>
      </c>
      <c r="G1" s="64" t="inlineStr">
        <is>
          <t>Maille native</t>
        </is>
      </c>
      <c r="H1" s="64" t="inlineStr">
        <is>
          <t>Commune</t>
        </is>
      </c>
      <c r="I1" s="64" t="inlineStr">
        <is>
          <t>Canton</t>
        </is>
      </c>
      <c r="J1" s="64" t="inlineStr">
        <is>
          <t>EPCI</t>
        </is>
      </c>
      <c r="K1" s="64" t="inlineStr">
        <is>
          <t>Règle d'agrégation</t>
        </is>
      </c>
      <c r="L1" s="64" t="inlineStr">
        <is>
          <t>Fréquence</t>
        </is>
      </c>
      <c r="M1" s="64" t="inlineStr">
        <is>
          <t>Millésime (indicatif)</t>
        </is>
      </c>
      <c r="N1" s="64" t="inlineStr">
        <is>
          <t>Affichage recommandé</t>
        </is>
      </c>
      <c r="O1" s="64" t="inlineStr">
        <is>
          <t>Licence</t>
        </is>
      </c>
      <c r="P1" s="64" t="inlineStr">
        <is>
          <t>Passage à l'échelle</t>
        </is>
      </c>
      <c r="Q1" s="64" t="inlineStr">
        <is>
          <t>Pièges / remarques</t>
        </is>
      </c>
      <c r="R1" s="64" t="inlineStr">
        <is>
          <t>Implanté</t>
        </is>
      </c>
    </row>
    <row r="2" ht="45.75" customHeight="1" s="58">
      <c r="A2" s="65" t="inlineStr">
        <is>
          <t>POP-01</t>
        </is>
      </c>
      <c r="B2" s="66" t="inlineStr">
        <is>
          <t>Population &amp; démographie</t>
        </is>
      </c>
      <c r="C2" s="67" t="inlineStr">
        <is>
          <t>Population par commune</t>
        </is>
      </c>
      <c r="D2" s="67" t="inlineStr">
        <is>
          <t>INSEE</t>
        </is>
      </c>
      <c r="E2" s="67" t="inlineStr">
        <is>
          <t>Populations légales (recensement)</t>
        </is>
      </c>
      <c r="F2" s="67" t="inlineStr">
        <is>
          <t>Fichier CSV / API INSEE</t>
        </is>
      </c>
      <c r="G2" s="67" t="inlineStr">
        <is>
          <t>Commune</t>
        </is>
      </c>
      <c r="H2" s="68" t="inlineStr">
        <is>
          <t>Natif</t>
        </is>
      </c>
      <c r="I2" s="69" t="inlineStr">
        <is>
          <t>Reconstitué</t>
        </is>
      </c>
      <c r="J2" s="70" t="inlineStr">
        <is>
          <t>Agrégeable</t>
        </is>
      </c>
      <c r="K2" s="67" t="inlineStr">
        <is>
          <t>Somme des effectifs</t>
        </is>
      </c>
      <c r="L2" s="67" t="inlineStr">
        <is>
          <t>Annuelle</t>
        </is>
      </c>
      <c r="M2" s="67" t="inlineStr">
        <is>
          <t>Millésime N-3</t>
        </is>
      </c>
      <c r="N2" s="67" t="inlineStr">
        <is>
          <t>Texte + carte choroplèthe</t>
        </is>
      </c>
      <c r="O2" s="67" t="inlineStr">
        <is>
          <t>LO 2.0</t>
        </is>
      </c>
      <c r="P2" s="68" t="inlineStr">
        <is>
          <t>National</t>
        </is>
      </c>
      <c r="Q2" s="67" t="inlineStr">
        <is>
          <t>Distinguer population municipale et population totale : ne pas mélanger les deux dans une même série.</t>
        </is>
      </c>
      <c r="R2" s="57" t="inlineStr">
        <is>
          <t>oui — 01/03</t>
        </is>
      </c>
    </row>
    <row r="3" ht="45.75" customHeight="1" s="58">
      <c r="A3" s="65" t="inlineStr">
        <is>
          <t>POP-02</t>
        </is>
      </c>
      <c r="B3" s="66" t="inlineStr">
        <is>
          <t>Population &amp; démographie</t>
        </is>
      </c>
      <c r="C3" s="67" t="inlineStr">
        <is>
          <t>Population par âge</t>
        </is>
      </c>
      <c r="D3" s="67" t="inlineStr">
        <is>
          <t>INSEE</t>
        </is>
      </c>
      <c r="E3" s="67" t="inlineStr">
        <is>
          <t>Recensement – base Population (POP1B)</t>
        </is>
      </c>
      <c r="F3" s="67" t="inlineStr">
        <is>
          <t>Fichier CSV</t>
        </is>
      </c>
      <c r="G3" s="67" t="inlineStr">
        <is>
          <t>Commune</t>
        </is>
      </c>
      <c r="H3" s="68" t="inlineStr">
        <is>
          <t>Natif</t>
        </is>
      </c>
      <c r="I3" s="69" t="inlineStr">
        <is>
          <t>Reconstitué</t>
        </is>
      </c>
      <c r="J3" s="70" t="inlineStr">
        <is>
          <t>Agrégeable</t>
        </is>
      </c>
      <c r="K3" s="67" t="inlineStr">
        <is>
          <t>Somme par tranche d'âge</t>
        </is>
      </c>
      <c r="L3" s="67" t="inlineStr">
        <is>
          <t>Annuelle</t>
        </is>
      </c>
      <c r="M3" s="67" t="inlineStr">
        <is>
          <t>Millésime N-3</t>
        </is>
      </c>
      <c r="N3" s="67" t="inlineStr">
        <is>
          <t>Pyramide des âges + tableau</t>
        </is>
      </c>
      <c r="O3" s="67" t="inlineStr">
        <is>
          <t>LO 2.0</t>
        </is>
      </c>
      <c r="P3" s="68" t="inlineStr">
        <is>
          <t>National</t>
        </is>
      </c>
      <c r="Q3" s="67" t="inlineStr">
        <is>
          <t>Choisir une seule fois le découpage de tranches et s'y tenir pour toutes les catégories.</t>
        </is>
      </c>
      <c r="R3" s="57" t="inlineStr">
        <is>
          <t>oui — 11</t>
        </is>
      </c>
    </row>
    <row r="4" ht="45.75" customHeight="1" s="58">
      <c r="A4" s="65" t="inlineStr">
        <is>
          <t>POP-03</t>
        </is>
      </c>
      <c r="B4" s="66" t="inlineStr">
        <is>
          <t>Population &amp; démographie</t>
        </is>
      </c>
      <c r="C4" s="67" t="inlineStr">
        <is>
          <t>Répartition par sexe</t>
        </is>
      </c>
      <c r="D4" s="67" t="inlineStr">
        <is>
          <t>INSEE</t>
        </is>
      </c>
      <c r="E4" s="67" t="inlineStr">
        <is>
          <t>Recensement – base Population (POP1B)</t>
        </is>
      </c>
      <c r="F4" s="67" t="inlineStr">
        <is>
          <t>Fichier CSV</t>
        </is>
      </c>
      <c r="G4" s="67" t="inlineStr">
        <is>
          <t>Commune</t>
        </is>
      </c>
      <c r="H4" s="68" t="inlineStr">
        <is>
          <t>Natif</t>
        </is>
      </c>
      <c r="I4" s="69" t="inlineStr">
        <is>
          <t>Reconstitué</t>
        </is>
      </c>
      <c r="J4" s="70" t="inlineStr">
        <is>
          <t>Agrégeable</t>
        </is>
      </c>
      <c r="K4" s="67" t="inlineStr">
        <is>
          <t>Somme par sexe</t>
        </is>
      </c>
      <c r="L4" s="67" t="inlineStr">
        <is>
          <t>Annuelle</t>
        </is>
      </c>
      <c r="M4" s="67" t="inlineStr">
        <is>
          <t>Millésime N-3</t>
        </is>
      </c>
      <c r="N4" s="67" t="inlineStr">
        <is>
          <t>Graphique + texte</t>
        </is>
      </c>
      <c r="O4" s="67" t="inlineStr">
        <is>
          <t>LO 2.0</t>
        </is>
      </c>
      <c r="P4" s="68" t="inlineStr">
        <is>
          <t>National</t>
        </is>
      </c>
      <c r="Q4" s="67" t="inlineStr">
        <is>
          <t>Même fichier source que POP-02 : un seul chargement pour les deux indicateurs.</t>
        </is>
      </c>
      <c r="R4" s="57" t="inlineStr">
        <is>
          <t>oui — 11</t>
        </is>
      </c>
    </row>
    <row r="5" ht="45.75" customHeight="1" s="58">
      <c r="A5" s="65" t="inlineStr">
        <is>
          <t>POP-04</t>
        </is>
      </c>
      <c r="B5" s="66" t="inlineStr">
        <is>
          <t>Population &amp; démographie</t>
        </is>
      </c>
      <c r="C5" s="67" t="inlineStr">
        <is>
          <t>Naissances</t>
        </is>
      </c>
      <c r="D5" s="67" t="inlineStr">
        <is>
          <t>INSEE</t>
        </is>
      </c>
      <c r="E5" s="67" t="inlineStr">
        <is>
          <t>État civil – naissances domiciliées</t>
        </is>
      </c>
      <c r="F5" s="67" t="inlineStr">
        <is>
          <t>Fichier CSV</t>
        </is>
      </c>
      <c r="G5" s="67" t="inlineStr">
        <is>
          <t>Commune</t>
        </is>
      </c>
      <c r="H5" s="68" t="inlineStr">
        <is>
          <t>Natif</t>
        </is>
      </c>
      <c r="I5" s="69" t="inlineStr">
        <is>
          <t>Reconstitué</t>
        </is>
      </c>
      <c r="J5" s="70" t="inlineStr">
        <is>
          <t>Agrégeable</t>
        </is>
      </c>
      <c r="K5" s="67" t="inlineStr">
        <is>
          <t>Somme</t>
        </is>
      </c>
      <c r="L5" s="67" t="inlineStr">
        <is>
          <t>Annuelle</t>
        </is>
      </c>
      <c r="M5" s="67" t="inlineStr">
        <is>
          <t>Année N-2</t>
        </is>
      </c>
      <c r="N5" s="67" t="inlineStr">
        <is>
          <t>Courbe + texte</t>
        </is>
      </c>
      <c r="O5" s="67" t="inlineStr">
        <is>
          <t>LO 2.0</t>
        </is>
      </c>
      <c r="P5" s="68" t="inlineStr">
        <is>
          <t>National</t>
        </is>
      </c>
      <c r="Q5" s="67" t="inlineStr">
        <is>
          <t>Domiciliées (commune de résidence de la mère) et non lieu d'accouchement : ne jamais lire comme une activité de maternité.</t>
        </is>
      </c>
    </row>
    <row r="6" ht="45.75" customHeight="1" s="58">
      <c r="A6" s="65" t="inlineStr">
        <is>
          <t>POP-05</t>
        </is>
      </c>
      <c r="B6" s="66" t="inlineStr">
        <is>
          <t>Population &amp; démographie</t>
        </is>
      </c>
      <c r="C6" s="67" t="inlineStr">
        <is>
          <t>Décès</t>
        </is>
      </c>
      <c r="D6" s="67" t="inlineStr">
        <is>
          <t>INSEE</t>
        </is>
      </c>
      <c r="E6" s="67" t="inlineStr">
        <is>
          <t>État civil / fichier des personnes décédées</t>
        </is>
      </c>
      <c r="F6" s="67" t="inlineStr">
        <is>
          <t>Fichier CSV mensuel</t>
        </is>
      </c>
      <c r="G6" s="67" t="inlineStr">
        <is>
          <t>Commune</t>
        </is>
      </c>
      <c r="H6" s="68" t="inlineStr">
        <is>
          <t>Natif</t>
        </is>
      </c>
      <c r="I6" s="69" t="inlineStr">
        <is>
          <t>Reconstitué</t>
        </is>
      </c>
      <c r="J6" s="70" t="inlineStr">
        <is>
          <t>Agrégeable</t>
        </is>
      </c>
      <c r="K6" s="67" t="inlineStr">
        <is>
          <t>Somme</t>
        </is>
      </c>
      <c r="L6" s="67" t="inlineStr">
        <is>
          <t>Mensuelle et annuelle</t>
        </is>
      </c>
      <c r="M6" s="67" t="inlineStr">
        <is>
          <t>Année en cours</t>
        </is>
      </c>
      <c r="N6" s="67" t="inlineStr">
        <is>
          <t>Courbe + texte</t>
        </is>
      </c>
      <c r="O6" s="67" t="inlineStr">
        <is>
          <t>LO 2.0</t>
        </is>
      </c>
      <c r="P6" s="68" t="inlineStr">
        <is>
          <t>National</t>
        </is>
      </c>
      <c r="Q6" s="67" t="inlineStr">
        <is>
          <t>Le fichier des décès contient des données nominatives : n'exposer que des agrégats, jamais la ligne individuelle.</t>
        </is>
      </c>
    </row>
    <row r="7" ht="45.75" customHeight="1" s="58">
      <c r="A7" s="65" t="inlineStr">
        <is>
          <t>POP-06</t>
        </is>
      </c>
      <c r="B7" s="66" t="inlineStr">
        <is>
          <t>Population &amp; démographie</t>
        </is>
      </c>
      <c r="C7" s="67" t="inlineStr">
        <is>
          <t>Espérance de vie</t>
        </is>
      </c>
      <c r="D7" s="67" t="inlineStr">
        <is>
          <t>INSEE</t>
        </is>
      </c>
      <c r="E7" s="67" t="inlineStr">
        <is>
          <t>Statistiques d'état civil / tables de mortalité</t>
        </is>
      </c>
      <c r="F7" s="67" t="inlineStr">
        <is>
          <t>Fichier CSV</t>
        </is>
      </c>
      <c r="G7" s="67" t="inlineStr">
        <is>
          <t>Département</t>
        </is>
      </c>
      <c r="H7" s="71" t="inlineStr">
        <is>
          <t>Non</t>
        </is>
      </c>
      <c r="I7" s="71" t="inlineStr">
        <is>
          <t>Non</t>
        </is>
      </c>
      <c r="J7" s="71" t="inlineStr">
        <is>
          <t>Non</t>
        </is>
      </c>
      <c r="K7" s="67" t="inlineStr">
        <is>
          <t>Non calculable</t>
        </is>
      </c>
      <c r="L7" s="67" t="inlineStr">
        <is>
          <t>Annuelle</t>
        </is>
      </c>
      <c r="M7" s="67" t="inlineStr">
        <is>
          <t>Année N-1</t>
        </is>
      </c>
      <c r="N7" s="67" t="inlineStr">
        <is>
          <t>Texte (contexte départemental)</t>
        </is>
      </c>
      <c r="O7" s="67" t="inlineStr">
        <is>
          <t>LO 2.0</t>
        </is>
      </c>
      <c r="P7" s="68" t="inlineStr">
        <is>
          <t>National</t>
        </is>
      </c>
      <c r="Q7" s="67" t="inlineStr">
        <is>
          <t>Aucune maille infra-départementale robuste. À écarter des 3 niveaux, ou afficher en repère de contexte clairement étiqueté « département ».</t>
        </is>
      </c>
      <c r="R7" s="57" t="inlineStr">
        <is>
          <t>hors périmètre</t>
        </is>
      </c>
    </row>
    <row r="8" ht="45.75" customHeight="1" s="58">
      <c r="A8" s="65" t="inlineStr">
        <is>
          <t>POP-07</t>
        </is>
      </c>
      <c r="B8" s="66" t="inlineStr">
        <is>
          <t>Population &amp; démographie</t>
        </is>
      </c>
      <c r="C8" s="67" t="inlineStr">
        <is>
          <t>Migrations résidentielles</t>
        </is>
      </c>
      <c r="D8" s="67" t="inlineStr">
        <is>
          <t>INSEE</t>
        </is>
      </c>
      <c r="E8" s="67" t="inlineStr">
        <is>
          <t>Recensement – mobilités résidentielles (MIGCOM)</t>
        </is>
      </c>
      <c r="F8" s="67" t="inlineStr">
        <is>
          <t>Fichier CSV volumineux</t>
        </is>
      </c>
      <c r="G8" s="67" t="inlineStr">
        <is>
          <t>Commune (flux)</t>
        </is>
      </c>
      <c r="H8" s="68" t="inlineStr">
        <is>
          <t>Natif</t>
        </is>
      </c>
      <c r="I8" s="71" t="inlineStr">
        <is>
          <t>Non</t>
        </is>
      </c>
      <c r="J8" s="70" t="inlineStr">
        <is>
          <t>Agrégeable</t>
        </is>
      </c>
      <c r="K8" s="67" t="inlineStr">
        <is>
          <t>Somme des flux, hors flux internes</t>
        </is>
      </c>
      <c r="L8" s="67" t="inlineStr">
        <is>
          <t>Annuelle</t>
        </is>
      </c>
      <c r="M8" s="67" t="inlineStr">
        <is>
          <t>Millésime N-3</t>
        </is>
      </c>
      <c r="N8" s="67" t="inlineStr">
        <is>
          <t>Carte de flux + tableau</t>
        </is>
      </c>
      <c r="O8" s="67" t="inlineStr">
        <is>
          <t>LO 2.0</t>
        </is>
      </c>
      <c r="P8" s="68" t="inlineStr">
        <is>
          <t>National</t>
        </is>
      </c>
      <c r="Q8" s="67" t="inlineStr">
        <is>
          <t>En agrégeant à l'EPCI, les flux entre communes du même EPCI deviennent internes et doivent être neutralisés.</t>
        </is>
      </c>
    </row>
    <row r="9" ht="45.75" customHeight="1" s="58">
      <c r="A9" s="65" t="inlineStr">
        <is>
          <t>POP-08</t>
        </is>
      </c>
      <c r="B9" s="66" t="inlineStr">
        <is>
          <t>Population &amp; démographie</t>
        </is>
      </c>
      <c r="C9" s="67" t="inlineStr">
        <is>
          <t>Ménages</t>
        </is>
      </c>
      <c r="D9" s="67" t="inlineStr">
        <is>
          <t>INSEE</t>
        </is>
      </c>
      <c r="E9" s="67" t="inlineStr">
        <is>
          <t>Recensement – base Logement / Ménages</t>
        </is>
      </c>
      <c r="F9" s="67" t="inlineStr">
        <is>
          <t>Fichier CSV</t>
        </is>
      </c>
      <c r="G9" s="67" t="inlineStr">
        <is>
          <t>Commune</t>
        </is>
      </c>
      <c r="H9" s="68" t="inlineStr">
        <is>
          <t>Natif</t>
        </is>
      </c>
      <c r="I9" s="69" t="inlineStr">
        <is>
          <t>Reconstitué</t>
        </is>
      </c>
      <c r="J9" s="70" t="inlineStr">
        <is>
          <t>Agrégeable</t>
        </is>
      </c>
      <c r="K9" s="67" t="inlineStr">
        <is>
          <t>Somme ; taille moyenne recalculée</t>
        </is>
      </c>
      <c r="L9" s="67" t="inlineStr">
        <is>
          <t>Annuelle</t>
        </is>
      </c>
      <c r="M9" s="67" t="inlineStr">
        <is>
          <t>Millésime N-3</t>
        </is>
      </c>
      <c r="N9" s="67" t="inlineStr">
        <is>
          <t>Tableau + graphique</t>
        </is>
      </c>
      <c r="O9" s="67" t="inlineStr">
        <is>
          <t>LO 2.0</t>
        </is>
      </c>
      <c r="P9" s="68" t="inlineStr">
        <is>
          <t>National</t>
        </is>
      </c>
      <c r="Q9" s="67" t="inlineStr">
        <is>
          <t>La taille moyenne des ménages est un ratio : la recalculer, ne jamais la moyenner.</t>
        </is>
      </c>
      <c r="R9" s="57" t="inlineStr">
        <is>
          <t>oui — 11</t>
        </is>
      </c>
    </row>
    <row r="10" ht="45.75" customHeight="1" s="58">
      <c r="A10" s="65" t="inlineStr">
        <is>
          <t>POP-09</t>
        </is>
      </c>
      <c r="B10" s="66" t="inlineStr">
        <is>
          <t>Population &amp; démographie</t>
        </is>
      </c>
      <c r="C10" s="67" t="inlineStr">
        <is>
          <t>Familles</t>
        </is>
      </c>
      <c r="D10" s="67" t="inlineStr">
        <is>
          <t>INSEE</t>
        </is>
      </c>
      <c r="E10" s="67" t="inlineStr">
        <is>
          <t>Recensement – base Couples-Familles-Ménages</t>
        </is>
      </c>
      <c r="F10" s="67" t="inlineStr">
        <is>
          <t>Fichier CSV</t>
        </is>
      </c>
      <c r="G10" s="67" t="inlineStr">
        <is>
          <t>Commune</t>
        </is>
      </c>
      <c r="H10" s="68" t="inlineStr">
        <is>
          <t>Natif</t>
        </is>
      </c>
      <c r="I10" s="69" t="inlineStr">
        <is>
          <t>Reconstitué</t>
        </is>
      </c>
      <c r="J10" s="70" t="inlineStr">
        <is>
          <t>Agrégeable</t>
        </is>
      </c>
      <c r="K10" s="67" t="inlineStr">
        <is>
          <t>Somme par type de famille</t>
        </is>
      </c>
      <c r="L10" s="67" t="inlineStr">
        <is>
          <t>Annuelle</t>
        </is>
      </c>
      <c r="M10" s="67" t="inlineStr">
        <is>
          <t>Millésime N-3</t>
        </is>
      </c>
      <c r="N10" s="67" t="inlineStr">
        <is>
          <t>Tableau</t>
        </is>
      </c>
      <c r="O10" s="67" t="inlineStr">
        <is>
          <t>LO 2.0</t>
        </is>
      </c>
      <c r="P10" s="68" t="inlineStr">
        <is>
          <t>National</t>
        </is>
      </c>
      <c r="Q10" s="67" t="inlineStr">
        <is>
          <t>Nomenclature de types de familles à figer dès le départ.</t>
        </is>
      </c>
      <c r="R10" s="57" t="inlineStr">
        <is>
          <t>oui — 11</t>
        </is>
      </c>
    </row>
    <row r="11" ht="45.75" customHeight="1" s="58">
      <c r="A11" s="65" t="inlineStr">
        <is>
          <t>POP-10</t>
        </is>
      </c>
      <c r="B11" s="66" t="inlineStr">
        <is>
          <t>Population &amp; démographie</t>
        </is>
      </c>
      <c r="C11" s="67" t="inlineStr">
        <is>
          <t>Densité de population</t>
        </is>
      </c>
      <c r="D11" s="67" t="inlineStr">
        <is>
          <t>Calculé</t>
        </is>
      </c>
      <c r="E11" s="67" t="inlineStr">
        <is>
          <t>INSEE (population) + IGN Admin Express (superficie)</t>
        </is>
      </c>
      <c r="F11" s="67" t="inlineStr">
        <is>
          <t>Calcul interne</t>
        </is>
      </c>
      <c r="G11" s="67" t="inlineStr">
        <is>
          <t>Commune</t>
        </is>
      </c>
      <c r="H11" s="72" t="inlineStr">
        <is>
          <t>Recalculé</t>
        </is>
      </c>
      <c r="I11" s="72" t="inlineStr">
        <is>
          <t>Recalculé</t>
        </is>
      </c>
      <c r="J11" s="72" t="inlineStr">
        <is>
          <t>Recalculé</t>
        </is>
      </c>
      <c r="K11" s="67" t="inlineStr">
        <is>
          <t>Population agrégée / superficie agrégée</t>
        </is>
      </c>
      <c r="L11" s="67" t="inlineStr">
        <is>
          <t>Annuelle</t>
        </is>
      </c>
      <c r="M11" s="67" t="inlineStr">
        <is>
          <t>Aligné sur POP-01</t>
        </is>
      </c>
      <c r="N11" s="67" t="inlineStr">
        <is>
          <t>Carte choroplèthe</t>
        </is>
      </c>
      <c r="O11" s="67" t="inlineStr">
        <is>
          <t>LO 2.0</t>
        </is>
      </c>
      <c r="P11" s="68" t="inlineStr">
        <is>
          <t>National</t>
        </is>
      </c>
      <c r="Q11" s="67" t="inlineStr">
        <is>
          <t>Indicateur calculé, pas téléchargé. Fixer la source de superficie une fois pour toutes (cadastrale ≠ géographique).</t>
        </is>
      </c>
      <c r="R11" s="57" t="inlineStr">
        <is>
          <t>oui — 03</t>
        </is>
      </c>
    </row>
    <row r="12" ht="45.75" customHeight="1" s="58">
      <c r="A12" s="65" t="inlineStr">
        <is>
          <t>POP-11</t>
        </is>
      </c>
      <c r="B12" s="66" t="inlineStr">
        <is>
          <t>Population &amp; démographie</t>
        </is>
      </c>
      <c r="C12" s="67" t="inlineStr">
        <is>
          <t>Grille de densité / typologie communale</t>
        </is>
      </c>
      <c r="D12" s="67" t="inlineStr">
        <is>
          <t>INSEE</t>
        </is>
      </c>
      <c r="E12" s="67" t="inlineStr">
        <is>
          <t>Grille communale de densité</t>
        </is>
      </c>
      <c r="F12" s="67" t="inlineStr">
        <is>
          <t>Fichier CSV</t>
        </is>
      </c>
      <c r="G12" s="67" t="inlineStr">
        <is>
          <t>Commune</t>
        </is>
      </c>
      <c r="H12" s="68" t="inlineStr">
        <is>
          <t>Natif</t>
        </is>
      </c>
      <c r="I12" s="71" t="inlineStr">
        <is>
          <t>Non</t>
        </is>
      </c>
      <c r="J12" s="71" t="inlineStr">
        <is>
          <t>Non</t>
        </is>
      </c>
      <c r="K12" s="67" t="inlineStr">
        <is>
          <t>Non agrégeable (typologie)</t>
        </is>
      </c>
      <c r="L12" s="67" t="inlineStr">
        <is>
          <t>Révision pluriannuelle</t>
        </is>
      </c>
      <c r="M12" s="67" t="inlineStr">
        <is>
          <t>Version en vigueur</t>
        </is>
      </c>
      <c r="N12" s="67" t="inlineStr">
        <is>
          <t>Carte catégorielle</t>
        </is>
      </c>
      <c r="O12" s="67" t="inlineStr">
        <is>
          <t>LO 2.0</t>
        </is>
      </c>
      <c r="P12" s="68" t="inlineStr">
        <is>
          <t>National</t>
        </is>
      </c>
      <c r="Q12" s="67" t="inlineStr">
        <is>
          <t>Classement qualitatif : ne pas tenter de moyenne. Utile pour contextualiser une commune.</t>
        </is>
      </c>
    </row>
    <row r="13" ht="45.75" customHeight="1" s="58">
      <c r="A13" s="65" t="inlineStr">
        <is>
          <t>POP-12</t>
        </is>
      </c>
      <c r="B13" s="66" t="inlineStr">
        <is>
          <t>Population &amp; démographie</t>
        </is>
      </c>
      <c r="C13" s="67" t="inlineStr">
        <is>
          <t>Projections démographiques</t>
        </is>
      </c>
      <c r="D13" s="67" t="inlineStr">
        <is>
          <t>INSEE</t>
        </is>
      </c>
      <c r="E13" s="67" t="inlineStr">
        <is>
          <t>Modèle Omphale</t>
        </is>
      </c>
      <c r="F13" s="67" t="inlineStr">
        <is>
          <t>Fichier CSV</t>
        </is>
      </c>
      <c r="G13" s="67" t="inlineStr">
        <is>
          <t>Département / zones d'étude</t>
        </is>
      </c>
      <c r="H13" s="71" t="inlineStr">
        <is>
          <t>Non</t>
        </is>
      </c>
      <c r="I13" s="71" t="inlineStr">
        <is>
          <t>Non</t>
        </is>
      </c>
      <c r="J13" s="73" t="inlineStr">
        <is>
          <t>Partiel</t>
        </is>
      </c>
      <c r="K13" s="67" t="inlineStr">
        <is>
          <t>Non calculable</t>
        </is>
      </c>
      <c r="L13" s="67" t="inlineStr">
        <is>
          <t>Pluriannuelle</t>
        </is>
      </c>
      <c r="M13" s="67" t="inlineStr">
        <is>
          <t>Exercice en vigueur</t>
        </is>
      </c>
      <c r="N13" s="67" t="inlineStr">
        <is>
          <t>Courbe (contexte)</t>
        </is>
      </c>
      <c r="O13" s="67" t="inlineStr">
        <is>
          <t>LO 2.0</t>
        </is>
      </c>
      <c r="P13" s="68" t="inlineStr">
        <is>
          <t>National</t>
        </is>
      </c>
      <c r="Q13" s="67" t="inlineStr">
        <is>
          <t>Pas de projection communale. À écarter aux 3 niveaux, sauf si un EPCI a fait l'objet d'une commande spécifique.</t>
        </is>
      </c>
      <c r="R13" s="57" t="inlineStr">
        <is>
          <t>hors périmètre</t>
        </is>
      </c>
    </row>
    <row r="14" ht="45.75" customHeight="1" s="58">
      <c r="A14" s="65" t="inlineStr">
        <is>
          <t>POP-13</t>
        </is>
      </c>
      <c r="B14" s="66" t="inlineStr">
        <is>
          <t>Population &amp; démographie</t>
        </is>
      </c>
      <c r="C14" s="67" t="inlineStr">
        <is>
          <t>Revenus (médiane, déciles)</t>
        </is>
      </c>
      <c r="D14" s="67" t="inlineStr">
        <is>
          <t>INSEE</t>
        </is>
      </c>
      <c r="E14" s="67" t="inlineStr">
        <is>
          <t>Filosofi – revenus localisés</t>
        </is>
      </c>
      <c r="F14" s="67" t="inlineStr">
        <is>
          <t>Fichier CSV</t>
        </is>
      </c>
      <c r="G14" s="67" t="inlineStr">
        <is>
          <t>Commune</t>
        </is>
      </c>
      <c r="H14" s="73" t="inlineStr">
        <is>
          <t>Partiel</t>
        </is>
      </c>
      <c r="I14" s="71" t="inlineStr">
        <is>
          <t>Non</t>
        </is>
      </c>
      <c r="J14" s="68" t="inlineStr">
        <is>
          <t>Natif</t>
        </is>
      </c>
      <c r="K14" s="67" t="inlineStr">
        <is>
          <t>Non calculable (médiane)</t>
        </is>
      </c>
      <c r="L14" s="67" t="inlineStr">
        <is>
          <t>Annuelle</t>
        </is>
      </c>
      <c r="M14" s="67" t="inlineStr">
        <is>
          <t>Millésime N-3</t>
        </is>
      </c>
      <c r="N14" s="67" t="inlineStr">
        <is>
          <t>Texte + comparatif</t>
        </is>
      </c>
      <c r="O14" s="67" t="inlineStr">
        <is>
          <t>LO 2.0</t>
        </is>
      </c>
      <c r="P14" s="68" t="inlineStr">
        <is>
          <t>National</t>
        </is>
      </c>
      <c r="Q14" s="67" t="inlineStr">
        <is>
          <t>Non diffusé pour les petites communes (secret statistique). Filosofi publie nativement à l'EPCI : privilégier ce niveau.</t>
        </is>
      </c>
    </row>
    <row r="15" ht="45.75" customHeight="1" s="58">
      <c r="A15" s="65" t="inlineStr">
        <is>
          <t>POP-14</t>
        </is>
      </c>
      <c r="B15" s="66" t="inlineStr">
        <is>
          <t>Population &amp; démographie</t>
        </is>
      </c>
      <c r="C15" s="67" t="inlineStr">
        <is>
          <t>Taux de pauvreté</t>
        </is>
      </c>
      <c r="D15" s="67" t="inlineStr">
        <is>
          <t>INSEE</t>
        </is>
      </c>
      <c r="E15" s="67" t="inlineStr">
        <is>
          <t>Filosofi</t>
        </is>
      </c>
      <c r="F15" s="67" t="inlineStr">
        <is>
          <t>Fichier CSV</t>
        </is>
      </c>
      <c r="G15" s="67" t="inlineStr">
        <is>
          <t>Commune</t>
        </is>
      </c>
      <c r="H15" s="73" t="inlineStr">
        <is>
          <t>Partiel</t>
        </is>
      </c>
      <c r="I15" s="71" t="inlineStr">
        <is>
          <t>Non</t>
        </is>
      </c>
      <c r="J15" s="68" t="inlineStr">
        <is>
          <t>Natif</t>
        </is>
      </c>
      <c r="K15" s="67" t="inlineStr">
        <is>
          <t>Recalcul impossible sans effectifs</t>
        </is>
      </c>
      <c r="L15" s="67" t="inlineStr">
        <is>
          <t>Annuelle</t>
        </is>
      </c>
      <c r="M15" s="67" t="inlineStr">
        <is>
          <t>Millésime N-3</t>
        </is>
      </c>
      <c r="N15" s="67" t="inlineStr">
        <is>
          <t>Texte + carte</t>
        </is>
      </c>
      <c r="O15" s="67" t="inlineStr">
        <is>
          <t>LO 2.0</t>
        </is>
      </c>
      <c r="P15" s="68" t="inlineStr">
        <is>
          <t>National</t>
        </is>
      </c>
      <c r="Q15" s="67" t="inlineStr">
        <is>
          <t>Même restriction de diffusion que POP-13.</t>
        </is>
      </c>
    </row>
    <row r="16" ht="45.75" customHeight="1" s="58">
      <c r="A16" s="65" t="inlineStr">
        <is>
          <t>POP-15</t>
        </is>
      </c>
      <c r="B16" s="66" t="inlineStr">
        <is>
          <t>Population &amp; démographie</t>
        </is>
      </c>
      <c r="C16" s="67" t="inlineStr">
        <is>
          <t>Inégalités (rapport interdécile, Gini)</t>
        </is>
      </c>
      <c r="D16" s="67" t="inlineStr">
        <is>
          <t>INSEE</t>
        </is>
      </c>
      <c r="E16" s="67" t="inlineStr">
        <is>
          <t>Filosofi</t>
        </is>
      </c>
      <c r="F16" s="67" t="inlineStr">
        <is>
          <t>Fichier CSV</t>
        </is>
      </c>
      <c r="G16" s="67" t="inlineStr">
        <is>
          <t>Commune</t>
        </is>
      </c>
      <c r="H16" s="73" t="inlineStr">
        <is>
          <t>Partiel</t>
        </is>
      </c>
      <c r="I16" s="71" t="inlineStr">
        <is>
          <t>Non</t>
        </is>
      </c>
      <c r="J16" s="68" t="inlineStr">
        <is>
          <t>Natif</t>
        </is>
      </c>
      <c r="K16" s="67" t="inlineStr">
        <is>
          <t>Non calculable</t>
        </is>
      </c>
      <c r="L16" s="67" t="inlineStr">
        <is>
          <t>Annuelle</t>
        </is>
      </c>
      <c r="M16" s="67" t="inlineStr">
        <is>
          <t>Millésime N-3</t>
        </is>
      </c>
      <c r="N16" s="67" t="inlineStr">
        <is>
          <t>Texte</t>
        </is>
      </c>
      <c r="O16" s="67" t="inlineStr">
        <is>
          <t>LO 2.0</t>
        </is>
      </c>
      <c r="P16" s="68" t="inlineStr">
        <is>
          <t>National</t>
        </is>
      </c>
      <c r="Q16" s="67" t="inlineStr">
        <is>
          <t>Indices non agrégeables par construction. Reprendre la valeur publiée ou ne rien afficher.</t>
        </is>
      </c>
    </row>
    <row r="17" ht="45.75" customHeight="1" s="58">
      <c r="A17" s="65" t="inlineStr">
        <is>
          <t>POP-16</t>
        </is>
      </c>
      <c r="B17" s="66" t="inlineStr">
        <is>
          <t>Population &amp; démographie</t>
        </is>
      </c>
      <c r="C17" s="67" t="inlineStr">
        <is>
          <t>Recensement (séries historiques)</t>
        </is>
      </c>
      <c r="D17" s="67" t="inlineStr">
        <is>
          <t>INSEE</t>
        </is>
      </c>
      <c r="E17" s="67" t="inlineStr">
        <is>
          <t>Séries historiques de population</t>
        </is>
      </c>
      <c r="F17" s="67" t="inlineStr">
        <is>
          <t>Fichier CSV</t>
        </is>
      </c>
      <c r="G17" s="67" t="inlineStr">
        <is>
          <t>Commune</t>
        </is>
      </c>
      <c r="H17" s="68" t="inlineStr">
        <is>
          <t>Natif</t>
        </is>
      </c>
      <c r="I17" s="69" t="inlineStr">
        <is>
          <t>Reconstitué</t>
        </is>
      </c>
      <c r="J17" s="70" t="inlineStr">
        <is>
          <t>Agrégeable</t>
        </is>
      </c>
      <c r="K17" s="67" t="inlineStr">
        <is>
          <t>Somme</t>
        </is>
      </c>
      <c r="L17" s="67" t="inlineStr">
        <is>
          <t>Annuelle</t>
        </is>
      </c>
      <c r="M17" s="67" t="inlineStr">
        <is>
          <t>Séries longues</t>
        </is>
      </c>
      <c r="N17" s="67" t="inlineStr">
        <is>
          <t>Courbe d'évolution</t>
        </is>
      </c>
      <c r="O17" s="67" t="inlineStr">
        <is>
          <t>LO 2.0</t>
        </is>
      </c>
      <c r="P17" s="68" t="inlineStr">
        <is>
          <t>National</t>
        </is>
      </c>
      <c r="Q17" s="67" t="inlineStr">
        <is>
          <t>Les fusions de communes cassent les séries : appliquer une table de passage COG avant tout graphique d'évolution.</t>
        </is>
      </c>
    </row>
    <row r="18" ht="45.75" customHeight="1" s="58">
      <c r="A18" s="65" t="inlineStr">
        <is>
          <t>GEO-01</t>
        </is>
      </c>
      <c r="B18" s="74" t="inlineStr">
        <is>
          <t>Géographie &amp; cartographie</t>
        </is>
      </c>
      <c r="C18" s="67" t="inlineStr">
        <is>
          <t>Coordonnées géographiques du territoire</t>
        </is>
      </c>
      <c r="D18" s="67" t="inlineStr">
        <is>
          <t>IGN / INSEE</t>
        </is>
      </c>
      <c r="E18" s="67" t="inlineStr">
        <is>
          <t>Admin Express + Code Officiel Géographique</t>
        </is>
      </c>
      <c r="F18" s="67" t="inlineStr">
        <is>
          <t>WFS Géoplateforme / fichier</t>
        </is>
      </c>
      <c r="G18" s="67" t="inlineStr">
        <is>
          <t>Commune</t>
        </is>
      </c>
      <c r="H18" s="68" t="inlineStr">
        <is>
          <t>Natif</t>
        </is>
      </c>
      <c r="I18" s="68" t="inlineStr">
        <is>
          <t>Natif</t>
        </is>
      </c>
      <c r="J18" s="68" t="inlineStr">
        <is>
          <t>Natif</t>
        </is>
      </c>
      <c r="K18" s="67" t="inlineStr">
        <is>
          <t>Centroïde recalculé</t>
        </is>
      </c>
      <c r="L18" s="67" t="inlineStr">
        <is>
          <t>Annuelle</t>
        </is>
      </c>
      <c r="M18" s="67" t="inlineStr">
        <is>
          <t>Millésime courant</t>
        </is>
      </c>
      <c r="N18" s="67" t="inlineStr">
        <is>
          <t>Carte</t>
        </is>
      </c>
      <c r="O18" s="67" t="inlineStr">
        <is>
          <t>LO 2.0</t>
        </is>
      </c>
      <c r="P18" s="68" t="inlineStr">
        <is>
          <t>National</t>
        </is>
      </c>
      <c r="Q18" s="67" t="inlineStr">
        <is>
          <t>Le centroïde géométrique peut tomber hors du territoire (communes concaves) : préférer un point de placement ou le chef-lieu.</t>
        </is>
      </c>
      <c r="R18" s="57" t="inlineStr">
        <is>
          <t>oui — 01</t>
        </is>
      </c>
    </row>
    <row r="19" ht="45.75" customHeight="1" s="58">
      <c r="A19" s="65" t="inlineStr">
        <is>
          <t>GEO-02</t>
        </is>
      </c>
      <c r="B19" s="74" t="inlineStr">
        <is>
          <t>Géographie &amp; cartographie</t>
        </is>
      </c>
      <c r="C19" s="67" t="inlineStr">
        <is>
          <t>Référentiel des communes</t>
        </is>
      </c>
      <c r="D19" s="67" t="inlineStr">
        <is>
          <t>INSEE / Etalab</t>
        </is>
      </c>
      <c r="E19" s="67" t="inlineStr">
        <is>
          <t>Code Officiel Géographique, API Découpage administratif</t>
        </is>
      </c>
      <c r="F19" s="67" t="inlineStr">
        <is>
          <t>API REST</t>
        </is>
      </c>
      <c r="G19" s="67" t="inlineStr">
        <is>
          <t>Commune</t>
        </is>
      </c>
      <c r="H19" s="68" t="inlineStr">
        <is>
          <t>Natif</t>
        </is>
      </c>
      <c r="I19" s="68" t="inlineStr">
        <is>
          <t>Natif</t>
        </is>
      </c>
      <c r="J19" s="68" t="inlineStr">
        <is>
          <t>Natif</t>
        </is>
      </c>
      <c r="K19" s="67" t="inlineStr">
        <is>
          <t>Sans objet (référentiel)</t>
        </is>
      </c>
      <c r="L19" s="67" t="inlineStr">
        <is>
          <t>Annuelle (1er janvier)</t>
        </is>
      </c>
      <c r="M19" s="67" t="inlineStr">
        <is>
          <t>COG courant</t>
        </is>
      </c>
      <c r="N19" s="67" t="inlineStr">
        <is>
          <t>Tableau + recherche</t>
        </is>
      </c>
      <c r="O19" s="67" t="inlineStr">
        <is>
          <t>LO 2.0</t>
        </is>
      </c>
      <c r="P19" s="68" t="inlineStr">
        <is>
          <t>National</t>
        </is>
      </c>
      <c r="Q19" s="67" t="inlineStr">
        <is>
          <t>Socle de tout le projet : c'est la table de référence à laquelle tout le reste se rattache. À charger en premier.</t>
        </is>
      </c>
      <c r="R19" s="57" t="inlineStr">
        <is>
          <t>oui — 01</t>
        </is>
      </c>
    </row>
    <row r="20" ht="45.75" customHeight="1" s="58">
      <c r="A20" s="65" t="inlineStr">
        <is>
          <t>GEO-03</t>
        </is>
      </c>
      <c r="B20" s="74" t="inlineStr">
        <is>
          <t>Géographie &amp; cartographie</t>
        </is>
      </c>
      <c r="C20" s="67" t="inlineStr">
        <is>
          <t>Référentiel des intercommunalités</t>
        </is>
      </c>
      <c r="D20" s="67" t="inlineStr">
        <is>
          <t>DGCL / INSEE</t>
        </is>
      </c>
      <c r="E20" s="67" t="inlineStr">
        <is>
          <t>Banatic + COG</t>
        </is>
      </c>
      <c r="F20" s="67" t="inlineStr">
        <is>
          <t>Fichier / API</t>
        </is>
      </c>
      <c r="G20" s="67" t="inlineStr">
        <is>
          <t>EPCI</t>
        </is>
      </c>
      <c r="H20" s="68" t="inlineStr">
        <is>
          <t>Natif</t>
        </is>
      </c>
      <c r="I20" s="75" t="inlineStr">
        <is>
          <t>Sans objet</t>
        </is>
      </c>
      <c r="J20" s="68" t="inlineStr">
        <is>
          <t>Natif</t>
        </is>
      </c>
      <c r="K20" s="67" t="inlineStr">
        <is>
          <t>Sans objet (référentiel)</t>
        </is>
      </c>
      <c r="L20" s="67" t="inlineStr">
        <is>
          <t>Annuelle</t>
        </is>
      </c>
      <c r="M20" s="67" t="inlineStr">
        <is>
          <t>Millésime courant</t>
        </is>
      </c>
      <c r="N20" s="67" t="inlineStr">
        <is>
          <t>Tableau + carte</t>
        </is>
      </c>
      <c r="O20" s="67" t="inlineStr">
        <is>
          <t>LO 2.0</t>
        </is>
      </c>
      <c r="P20" s="68" t="inlineStr">
        <is>
          <t>National</t>
        </is>
      </c>
      <c r="Q20" s="67" t="inlineStr">
        <is>
          <t>Recompositions fréquentes. Conserver l'historique de composition, sinon les agrégats passés deviennent non reproductibles.</t>
        </is>
      </c>
      <c r="R20" s="57" t="inlineStr">
        <is>
          <t>oui — 01</t>
        </is>
      </c>
    </row>
    <row r="21" ht="45.75" customHeight="1" s="58">
      <c r="A21" s="65" t="inlineStr">
        <is>
          <t>GEO-04</t>
        </is>
      </c>
      <c r="B21" s="74" t="inlineStr">
        <is>
          <t>Géographie &amp; cartographie</t>
        </is>
      </c>
      <c r="C21" s="67" t="inlineStr">
        <is>
          <t>Limites administratives</t>
        </is>
      </c>
      <c r="D21" s="67" t="inlineStr">
        <is>
          <t>IGN</t>
        </is>
      </c>
      <c r="E21" s="67" t="inlineStr">
        <is>
          <t>Admin Express (commune, canton, EPCI, département)</t>
        </is>
      </c>
      <c r="F21" s="67" t="inlineStr">
        <is>
          <t>WFS Géoplateforme / téléchargement</t>
        </is>
      </c>
      <c r="G21" s="67" t="inlineStr">
        <is>
          <t>Toutes mailles</t>
        </is>
      </c>
      <c r="H21" s="68" t="inlineStr">
        <is>
          <t>Natif</t>
        </is>
      </c>
      <c r="I21" s="68" t="inlineStr">
        <is>
          <t>Natif</t>
        </is>
      </c>
      <c r="J21" s="68" t="inlineStr">
        <is>
          <t>Natif</t>
        </is>
      </c>
      <c r="K21" s="67" t="inlineStr">
        <is>
          <t>Sans objet (géométrie)</t>
        </is>
      </c>
      <c r="L21" s="67" t="inlineStr">
        <is>
          <t>Plusieurs fois par an</t>
        </is>
      </c>
      <c r="M21" s="67" t="inlineStr">
        <is>
          <t>Millésime courant</t>
        </is>
      </c>
      <c r="N21" s="67" t="inlineStr">
        <is>
          <t>Carte</t>
        </is>
      </c>
      <c r="O21" s="67" t="inlineStr">
        <is>
          <t>LO 2.0</t>
        </is>
      </c>
      <c r="P21" s="68" t="inlineStr">
        <is>
          <t>National</t>
        </is>
      </c>
      <c r="Q21" s="67" t="inlineStr">
        <is>
          <t>Géométries lourdes : prévoir une version simplifiée pour l'affichage web et conserver la version précise pour les calculs.</t>
        </is>
      </c>
      <c r="R21" s="57" t="inlineStr">
        <is>
          <t>oui — 05</t>
        </is>
      </c>
    </row>
    <row r="22" ht="45.75" customHeight="1" s="58">
      <c r="A22" s="65" t="inlineStr">
        <is>
          <t>GEO-05</t>
        </is>
      </c>
      <c r="B22" s="74" t="inlineStr">
        <is>
          <t>Géographie &amp; cartographie</t>
        </is>
      </c>
      <c r="C22" s="67" t="inlineStr">
        <is>
          <t>Parcelles cadastrales</t>
        </is>
      </c>
      <c r="D22" s="67" t="inlineStr">
        <is>
          <t>DGFiP / Etalab / IGN</t>
        </is>
      </c>
      <c r="E22" s="67" t="inlineStr">
        <is>
          <t>Cadastre (PCI vecteur), Parcellaire Express</t>
        </is>
      </c>
      <c r="F22" s="67" t="inlineStr">
        <is>
          <t>Téléchargement par commune / WFS</t>
        </is>
      </c>
      <c r="G22" s="67" t="inlineStr">
        <is>
          <t>Parcelle</t>
        </is>
      </c>
      <c r="H22" s="68" t="inlineStr">
        <is>
          <t>Natif</t>
        </is>
      </c>
      <c r="I22" s="68" t="inlineStr">
        <is>
          <t>Natif</t>
        </is>
      </c>
      <c r="J22" s="68" t="inlineStr">
        <is>
          <t>Natif</t>
        </is>
      </c>
      <c r="K22" s="67" t="inlineStr">
        <is>
          <t>Sans objet</t>
        </is>
      </c>
      <c r="L22" s="67" t="inlineStr">
        <is>
          <t>Trimestrielle</t>
        </is>
      </c>
      <c r="M22" s="67" t="inlineStr">
        <is>
          <t>Millésime courant</t>
        </is>
      </c>
      <c r="N22" s="67" t="inlineStr">
        <is>
          <t>Carte (zoom élevé uniquement)</t>
        </is>
      </c>
      <c r="O22" s="67" t="inlineStr">
        <is>
          <t>LO 2.0</t>
        </is>
      </c>
      <c r="P22" s="76" t="inlineStr">
        <is>
          <t>Commune par commune</t>
        </is>
      </c>
      <c r="Q22" s="67" t="inlineStr">
        <is>
          <t>Volumétrie très importante. Ne charger qu'à la demande sur emprise réduite, jamais à l'échelle d'un EPCI.</t>
        </is>
      </c>
    </row>
    <row r="23" ht="45.75" customHeight="1" s="58">
      <c r="A23" s="65" t="inlineStr">
        <is>
          <t>GEO-06</t>
        </is>
      </c>
      <c r="B23" s="74" t="inlineStr">
        <is>
          <t>Géographie &amp; cartographie</t>
        </is>
      </c>
      <c r="C23" s="67" t="inlineStr">
        <is>
          <t>Adresses</t>
        </is>
      </c>
      <c r="D23" s="67" t="inlineStr">
        <is>
          <t>IGN / Etalab</t>
        </is>
      </c>
      <c r="E23" s="67" t="inlineStr">
        <is>
          <t>Base Adresse Nationale (BAN)</t>
        </is>
      </c>
      <c r="F23" s="67" t="inlineStr">
        <is>
          <t>API adresse + fichiers par département</t>
        </is>
      </c>
      <c r="G23" s="67" t="inlineStr">
        <is>
          <t>Adresse</t>
        </is>
      </c>
      <c r="H23" s="68" t="inlineStr">
        <is>
          <t>Natif</t>
        </is>
      </c>
      <c r="I23" s="68" t="inlineStr">
        <is>
          <t>Natif</t>
        </is>
      </c>
      <c r="J23" s="68" t="inlineStr">
        <is>
          <t>Natif</t>
        </is>
      </c>
      <c r="K23" s="67" t="inlineStr">
        <is>
          <t>Comptage possible</t>
        </is>
      </c>
      <c r="L23" s="67" t="inlineStr">
        <is>
          <t>Quotidienne / continue</t>
        </is>
      </c>
      <c r="M23" s="67" t="inlineStr">
        <is>
          <t>Version courante</t>
        </is>
      </c>
      <c r="N23" s="67" t="inlineStr">
        <is>
          <t>Recherche + carte</t>
        </is>
      </c>
      <c r="O23" s="67" t="inlineStr">
        <is>
          <t>LO 2.0</t>
        </is>
      </c>
      <c r="P23" s="68" t="inlineStr">
        <is>
          <t>National</t>
        </is>
      </c>
      <c r="Q23" s="67" t="inlineStr">
        <is>
          <t>Sert aussi de moteur de géocodage pour rattacher n'importe quel jeu de données à une commune.</t>
        </is>
      </c>
    </row>
    <row r="24" ht="45.75" customHeight="1" s="58">
      <c r="A24" s="65" t="inlineStr">
        <is>
          <t>GEO-07</t>
        </is>
      </c>
      <c r="B24" s="74" t="inlineStr">
        <is>
          <t>Géographie &amp; cartographie</t>
        </is>
      </c>
      <c r="C24" s="67" t="inlineStr">
        <is>
          <t>Voies</t>
        </is>
      </c>
      <c r="D24" s="67" t="inlineStr">
        <is>
          <t>IGN / DGFiP</t>
        </is>
      </c>
      <c r="E24" s="67" t="inlineStr">
        <is>
          <t>BAN, BD TOPO, référentiel des voies</t>
        </is>
      </c>
      <c r="F24" s="67" t="inlineStr">
        <is>
          <t>API / WFS</t>
        </is>
      </c>
      <c r="G24" s="67" t="inlineStr">
        <is>
          <t>Voie</t>
        </is>
      </c>
      <c r="H24" s="68" t="inlineStr">
        <is>
          <t>Natif</t>
        </is>
      </c>
      <c r="I24" s="68" t="inlineStr">
        <is>
          <t>Natif</t>
        </is>
      </c>
      <c r="J24" s="68" t="inlineStr">
        <is>
          <t>Natif</t>
        </is>
      </c>
      <c r="K24" s="67" t="inlineStr">
        <is>
          <t>Comptage / linéaire</t>
        </is>
      </c>
      <c r="L24" s="67" t="inlineStr">
        <is>
          <t>Continue</t>
        </is>
      </c>
      <c r="M24" s="67" t="inlineStr">
        <is>
          <t>Version courante</t>
        </is>
      </c>
      <c r="N24" s="67" t="inlineStr">
        <is>
          <t>Carte + tableau</t>
        </is>
      </c>
      <c r="O24" s="67" t="inlineStr">
        <is>
          <t>LO 2.0</t>
        </is>
      </c>
      <c r="P24" s="68" t="inlineStr">
        <is>
          <t>National</t>
        </is>
      </c>
      <c r="Q24" s="67" t="inlineStr">
        <is>
          <t>Le linéaire de voirie diffère selon la source (BD TOPO ≠ BAN) : choisir une source de référence et documenter le choix.</t>
        </is>
      </c>
    </row>
    <row r="25" ht="45.75" customHeight="1" s="58">
      <c r="A25" s="65" t="inlineStr">
        <is>
          <t>GEO-08</t>
        </is>
      </c>
      <c r="B25" s="74" t="inlineStr">
        <is>
          <t>Géographie &amp; cartographie</t>
        </is>
      </c>
      <c r="C25" s="67" t="inlineStr">
        <is>
          <t>Codes postaux</t>
        </is>
      </c>
      <c r="D25" s="67" t="inlineStr">
        <is>
          <t>La Poste</t>
        </is>
      </c>
      <c r="E25" s="67" t="inlineStr">
        <is>
          <t>Base officielle des codes postaux</t>
        </is>
      </c>
      <c r="F25" s="67" t="inlineStr">
        <is>
          <t>Fichier CSV</t>
        </is>
      </c>
      <c r="G25" s="67" t="inlineStr">
        <is>
          <t>Code postal</t>
        </is>
      </c>
      <c r="H25" s="73" t="inlineStr">
        <is>
          <t>Partiel</t>
        </is>
      </c>
      <c r="I25" s="71" t="inlineStr">
        <is>
          <t>Non</t>
        </is>
      </c>
      <c r="J25" s="71" t="inlineStr">
        <is>
          <t>Non</t>
        </is>
      </c>
      <c r="K25" s="67" t="inlineStr">
        <is>
          <t>Non agrégeable</t>
        </is>
      </c>
      <c r="L25" s="67" t="inlineStr">
        <is>
          <t>Périodique</t>
        </is>
      </c>
      <c r="M25" s="67" t="inlineStr">
        <is>
          <t>Version courante</t>
        </is>
      </c>
      <c r="N25" s="67" t="inlineStr">
        <is>
          <t>Texte / recherche</t>
        </is>
      </c>
      <c r="O25" s="67" t="inlineStr">
        <is>
          <t>LO 2.0</t>
        </is>
      </c>
      <c r="P25" s="68" t="inlineStr">
        <is>
          <t>National</t>
        </is>
      </c>
      <c r="Q25" s="67" t="inlineStr">
        <is>
          <t>Une commune peut porter plusieurs codes postaux et un code postal couvrir plusieurs communes. Attribut de recherche uniquement.</t>
        </is>
      </c>
      <c r="R25" s="57" t="inlineStr">
        <is>
          <t>oui — 01</t>
        </is>
      </c>
    </row>
    <row r="26" ht="45.75" customHeight="1" s="58">
      <c r="A26" s="65" t="inlineStr">
        <is>
          <t>GEO-09</t>
        </is>
      </c>
      <c r="B26" s="74" t="inlineStr">
        <is>
          <t>Géographie &amp; cartographie</t>
        </is>
      </c>
      <c r="C26" s="67" t="inlineStr">
        <is>
          <t>Équipements publics géolocalisés</t>
        </is>
      </c>
      <c r="D26" s="67" t="inlineStr">
        <is>
          <t>INSEE</t>
        </is>
      </c>
      <c r="E26" s="67" t="inlineStr">
        <is>
          <t>Base Permanente des Équipements (BPE)</t>
        </is>
      </c>
      <c r="F26" s="67" t="inlineStr">
        <is>
          <t>Fichier CSV géolocalisé</t>
        </is>
      </c>
      <c r="G26" s="67" t="inlineStr">
        <is>
          <t>Équipement / commune</t>
        </is>
      </c>
      <c r="H26" s="68" t="inlineStr">
        <is>
          <t>Natif</t>
        </is>
      </c>
      <c r="I26" s="69" t="inlineStr">
        <is>
          <t>Reconstitué</t>
        </is>
      </c>
      <c r="J26" s="70" t="inlineStr">
        <is>
          <t>Agrégeable</t>
        </is>
      </c>
      <c r="K26" s="67" t="inlineStr">
        <is>
          <t>Comptage par type</t>
        </is>
      </c>
      <c r="L26" s="67" t="inlineStr">
        <is>
          <t>Annuelle</t>
        </is>
      </c>
      <c r="M26" s="67" t="inlineStr">
        <is>
          <t>Millésime N-1</t>
        </is>
      </c>
      <c r="N26" s="67" t="inlineStr">
        <is>
          <t>Carte + tableau</t>
        </is>
      </c>
      <c r="O26" s="67" t="inlineStr">
        <is>
          <t>LO 2.0</t>
        </is>
      </c>
      <c r="P26" s="68" t="inlineStr">
        <is>
          <t>National</t>
        </is>
      </c>
      <c r="Q26" s="67" t="inlineStr">
        <is>
          <t>Très transverse : alimente aussi Santé, Éducation, Culture, Services publics, Sport. Un seul chargement, plusieurs catégories.</t>
        </is>
      </c>
      <c r="R26" s="57" t="inlineStr">
        <is>
          <t>oui — 11 (BPE)</t>
        </is>
      </c>
    </row>
    <row r="27" ht="45.75" customHeight="1" s="58">
      <c r="A27" s="65" t="inlineStr">
        <is>
          <t>GEO-10</t>
        </is>
      </c>
      <c r="B27" s="74" t="inlineStr">
        <is>
          <t>Géographie &amp; cartographie</t>
        </is>
      </c>
      <c r="C27" s="67" t="inlineStr">
        <is>
          <t>Données géographiques environnementales</t>
        </is>
      </c>
      <c r="D27" s="67" t="inlineStr">
        <is>
          <t>IGN / MTE / OFB</t>
        </is>
      </c>
      <c r="E27" s="67" t="inlineStr">
        <is>
          <t>Géoplateforme, INPN, zonages environnementaux</t>
        </is>
      </c>
      <c r="F27" s="67" t="inlineStr">
        <is>
          <t>WFS</t>
        </is>
      </c>
      <c r="G27" s="67" t="inlineStr">
        <is>
          <t>Zonage</t>
        </is>
      </c>
      <c r="H27" s="68" t="inlineStr">
        <is>
          <t>Natif</t>
        </is>
      </c>
      <c r="I27" s="68" t="inlineStr">
        <is>
          <t>Natif</t>
        </is>
      </c>
      <c r="J27" s="68" t="inlineStr">
        <is>
          <t>Natif</t>
        </is>
      </c>
      <c r="K27" s="67" t="inlineStr">
        <is>
          <t>Intersection géométrique</t>
        </is>
      </c>
      <c r="L27" s="67" t="inlineStr">
        <is>
          <t>Variable</t>
        </is>
      </c>
      <c r="M27" s="67" t="inlineStr">
        <is>
          <t>Variable</t>
        </is>
      </c>
      <c r="N27" s="67" t="inlineStr">
        <is>
          <t>Carte</t>
        </is>
      </c>
      <c r="O27" s="67" t="inlineStr">
        <is>
          <t>LO 2.0</t>
        </is>
      </c>
      <c r="P27" s="68" t="inlineStr">
        <is>
          <t>National</t>
        </is>
      </c>
      <c r="Q27" s="67" t="inlineStr">
        <is>
          <t>Les zonages ne suivent pas les limites communales : calculer par intersection et afficher une surface, pas un booléen.</t>
        </is>
      </c>
    </row>
    <row r="28" ht="45.75" customHeight="1" s="58">
      <c r="A28" s="65" t="inlineStr">
        <is>
          <t>GEO-11</t>
        </is>
      </c>
      <c r="B28" s="74" t="inlineStr">
        <is>
          <t>Géographie &amp; cartographie</t>
        </is>
      </c>
      <c r="C28" s="67" t="inlineStr">
        <is>
          <t>Référentiels géographiques socles</t>
        </is>
      </c>
      <c r="D28" s="67" t="inlineStr">
        <is>
          <t>IGN</t>
        </is>
      </c>
      <c r="E28" s="67" t="inlineStr">
        <is>
          <t>BD TOPO / Référentiel à Grande Échelle</t>
        </is>
      </c>
      <c r="F28" s="67" t="inlineStr">
        <is>
          <t>WFS / téléchargement</t>
        </is>
      </c>
      <c r="G28" s="67" t="inlineStr">
        <is>
          <t>Objet</t>
        </is>
      </c>
      <c r="H28" s="68" t="inlineStr">
        <is>
          <t>Natif</t>
        </is>
      </c>
      <c r="I28" s="68" t="inlineStr">
        <is>
          <t>Natif</t>
        </is>
      </c>
      <c r="J28" s="68" t="inlineStr">
        <is>
          <t>Natif</t>
        </is>
      </c>
      <c r="K28" s="67" t="inlineStr">
        <is>
          <t>Sans objet</t>
        </is>
      </c>
      <c r="L28" s="67" t="inlineStr">
        <is>
          <t>Plusieurs fois par an</t>
        </is>
      </c>
      <c r="M28" s="67" t="inlineStr">
        <is>
          <t>Millésime courant</t>
        </is>
      </c>
      <c r="N28" s="67" t="inlineStr">
        <is>
          <t>Carte</t>
        </is>
      </c>
      <c r="O28" s="67" t="inlineStr">
        <is>
          <t>LO 2.0</t>
        </is>
      </c>
      <c r="P28" s="68" t="inlineStr">
        <is>
          <t>National</t>
        </is>
      </c>
      <c r="Q28" s="67" t="inlineStr">
        <is>
          <t>Fond technique commun à plusieurs catégories (transports, urbanisme, eau).</t>
        </is>
      </c>
    </row>
    <row r="29" ht="45.75" customHeight="1" s="58">
      <c r="A29" s="65" t="inlineStr">
        <is>
          <t>GEO-12</t>
        </is>
      </c>
      <c r="B29" s="74" t="inlineStr">
        <is>
          <t>Géographie &amp; cartographie</t>
        </is>
      </c>
      <c r="C29" s="67" t="inlineStr">
        <is>
          <t>Fond de carte</t>
        </is>
      </c>
      <c r="D29" s="67" t="inlineStr">
        <is>
          <t>IGN / OSM</t>
        </is>
      </c>
      <c r="E29" s="67" t="inlineStr">
        <is>
          <t>Géoplateforme (data.geopf.fr) ou tuiles OpenStreetMap</t>
        </is>
      </c>
      <c r="F29" s="67" t="inlineStr">
        <is>
          <t>WMTS / TMS tuiles vectorielles</t>
        </is>
      </c>
      <c r="G29" s="67" t="inlineStr">
        <is>
          <t>Sans objet</t>
        </is>
      </c>
      <c r="H29" s="68" t="inlineStr">
        <is>
          <t>Natif</t>
        </is>
      </c>
      <c r="I29" s="68" t="inlineStr">
        <is>
          <t>Natif</t>
        </is>
      </c>
      <c r="J29" s="68" t="inlineStr">
        <is>
          <t>Natif</t>
        </is>
      </c>
      <c r="K29" s="67" t="inlineStr">
        <is>
          <t>Sans objet</t>
        </is>
      </c>
      <c r="L29" s="67" t="inlineStr">
        <is>
          <t>Continue</t>
        </is>
      </c>
      <c r="M29" s="67" t="inlineStr">
        <is>
          <t>Version courante</t>
        </is>
      </c>
      <c r="N29" s="67" t="inlineStr">
        <is>
          <t>Carte</t>
        </is>
      </c>
      <c r="O29" s="67" t="inlineStr">
        <is>
          <t>LO 2.0 / ODbL</t>
        </is>
      </c>
      <c r="P29" s="68" t="inlineStr">
        <is>
          <t>National</t>
        </is>
      </c>
      <c r="Q29" s="67" t="inlineStr">
        <is>
          <t>Ne pas taper les tuiles OSM communautaires en production. Géoplateforme ou tuiles auto-hébergées. Attribution obligatoire dans les deux cas.</t>
        </is>
      </c>
      <c r="R29" s="57" t="inlineStr">
        <is>
          <t>oui — 04</t>
        </is>
      </c>
    </row>
    <row r="30" ht="45.75" customHeight="1" s="58">
      <c r="A30" s="65" t="inlineStr">
        <is>
          <t>TRA-01</t>
        </is>
      </c>
      <c r="B30" s="77" t="inlineStr">
        <is>
          <t>Transports &amp; mobilité</t>
        </is>
      </c>
      <c r="C30" s="67" t="inlineStr">
        <is>
          <t>Réseau routier</t>
        </is>
      </c>
      <c r="D30" s="67" t="inlineStr">
        <is>
          <t>IGN</t>
        </is>
      </c>
      <c r="E30" s="67" t="inlineStr">
        <is>
          <t>BD TOPO – tronçons de route</t>
        </is>
      </c>
      <c r="F30" s="67" t="inlineStr">
        <is>
          <t>WFS / téléchargement</t>
        </is>
      </c>
      <c r="G30" s="67" t="inlineStr">
        <is>
          <t>Tronçon</t>
        </is>
      </c>
      <c r="H30" s="68" t="inlineStr">
        <is>
          <t>Natif</t>
        </is>
      </c>
      <c r="I30" s="68" t="inlineStr">
        <is>
          <t>Natif</t>
        </is>
      </c>
      <c r="J30" s="68" t="inlineStr">
        <is>
          <t>Natif</t>
        </is>
      </c>
      <c r="K30" s="67" t="inlineStr">
        <is>
          <t>Linéaire par découpage</t>
        </is>
      </c>
      <c r="L30" s="67" t="inlineStr">
        <is>
          <t>Plusieurs fois par an</t>
        </is>
      </c>
      <c r="M30" s="67" t="inlineStr">
        <is>
          <t>Millésime courant</t>
        </is>
      </c>
      <c r="N30" s="67" t="inlineStr">
        <is>
          <t>Carte + linéaire en km</t>
        </is>
      </c>
      <c r="O30" s="67" t="inlineStr">
        <is>
          <t>LO 2.0</t>
        </is>
      </c>
      <c r="P30" s="68" t="inlineStr">
        <is>
          <t>National</t>
        </is>
      </c>
      <c r="Q30" s="67" t="inlineStr">
        <is>
          <t>Le calcul de linéaire par territoire suppose de découper les tronçons sur les limites, pas de les compter en entier.</t>
        </is>
      </c>
    </row>
    <row r="31" ht="45.75" customHeight="1" s="58">
      <c r="A31" s="65" t="inlineStr">
        <is>
          <t>TRA-02</t>
        </is>
      </c>
      <c r="B31" s="77" t="inlineStr">
        <is>
          <t>Transports &amp; mobilité</t>
        </is>
      </c>
      <c r="C31" s="67" t="inlineStr">
        <is>
          <t>Autoroutes et voies rapides</t>
        </is>
      </c>
      <c r="D31" s="67" t="inlineStr">
        <is>
          <t>IGN</t>
        </is>
      </c>
      <c r="E31" s="67" t="inlineStr">
        <is>
          <t>BD TOPO (attribut nature de la voie)</t>
        </is>
      </c>
      <c r="F31" s="67" t="inlineStr">
        <is>
          <t>WFS</t>
        </is>
      </c>
      <c r="G31" s="67" t="inlineStr">
        <is>
          <t>Tronçon</t>
        </is>
      </c>
      <c r="H31" s="68" t="inlineStr">
        <is>
          <t>Natif</t>
        </is>
      </c>
      <c r="I31" s="68" t="inlineStr">
        <is>
          <t>Natif</t>
        </is>
      </c>
      <c r="J31" s="68" t="inlineStr">
        <is>
          <t>Natif</t>
        </is>
      </c>
      <c r="K31" s="67" t="inlineStr">
        <is>
          <t>Linéaire par découpage</t>
        </is>
      </c>
      <c r="L31" s="67" t="inlineStr">
        <is>
          <t>Plusieurs fois par an</t>
        </is>
      </c>
      <c r="M31" s="67" t="inlineStr">
        <is>
          <t>Millésime courant</t>
        </is>
      </c>
      <c r="N31" s="67" t="inlineStr">
        <is>
          <t>Carte</t>
        </is>
      </c>
      <c r="O31" s="67" t="inlineStr">
        <is>
          <t>LO 2.0</t>
        </is>
      </c>
      <c r="P31" s="68" t="inlineStr">
        <is>
          <t>National</t>
        </is>
      </c>
      <c r="Q31" s="67" t="inlineStr">
        <is>
          <t>Sous-ensemble filtré de TRA-01 : pas de chargement séparé.</t>
        </is>
      </c>
    </row>
    <row r="32" ht="45.75" customHeight="1" s="58">
      <c r="A32" s="65" t="inlineStr">
        <is>
          <t>TRA-03</t>
        </is>
      </c>
      <c r="B32" s="77" t="inlineStr">
        <is>
          <t>Transports &amp; mobilité</t>
        </is>
      </c>
      <c r="C32" s="67" t="inlineStr">
        <is>
          <t>Accidents corporels de la route</t>
        </is>
      </c>
      <c r="D32" s="67" t="inlineStr">
        <is>
          <t>ONISR</t>
        </is>
      </c>
      <c r="E32" s="67" t="inlineStr">
        <is>
          <t>Bases annuelles des accidents corporels (BAAC)</t>
        </is>
      </c>
      <c r="F32" s="67" t="inlineStr">
        <is>
          <t>Fichiers CSV annuels</t>
        </is>
      </c>
      <c r="G32" s="67" t="inlineStr">
        <is>
          <t>Accident géolocalisé</t>
        </is>
      </c>
      <c r="H32" s="70" t="inlineStr">
        <is>
          <t>Agrégeable</t>
        </is>
      </c>
      <c r="I32" s="70" t="inlineStr">
        <is>
          <t>Agrégeable</t>
        </is>
      </c>
      <c r="J32" s="70" t="inlineStr">
        <is>
          <t>Agrégeable</t>
        </is>
      </c>
      <c r="K32" s="67" t="inlineStr">
        <is>
          <t>Comptage par appartenance géographique</t>
        </is>
      </c>
      <c r="L32" s="67" t="inlineStr">
        <is>
          <t>Annuelle</t>
        </is>
      </c>
      <c r="M32" s="67" t="inlineStr">
        <is>
          <t>Année N-1</t>
        </is>
      </c>
      <c r="N32" s="67" t="inlineStr">
        <is>
          <t>Carte de points / chaleur + série</t>
        </is>
      </c>
      <c r="O32" s="67" t="inlineStr">
        <is>
          <t>LO 2.0</t>
        </is>
      </c>
      <c r="P32" s="68" t="inlineStr">
        <is>
          <t>National</t>
        </is>
      </c>
      <c r="Q32" s="67" t="inlineStr">
        <is>
          <t>Qualité de géolocalisation inégale selon les années. Sur petite commune les effectifs sont faibles : éviter tout taux trompeur.</t>
        </is>
      </c>
    </row>
    <row r="33" ht="45.75" customHeight="1" s="58">
      <c r="A33" s="65" t="inlineStr">
        <is>
          <t>TRA-04</t>
        </is>
      </c>
      <c r="B33" s="77" t="inlineStr">
        <is>
          <t>Transports &amp; mobilité</t>
        </is>
      </c>
      <c r="C33" s="67" t="inlineStr">
        <is>
          <t>Trafic routier (comptages)</t>
        </is>
      </c>
      <c r="D33" s="67" t="inlineStr">
        <is>
          <t>Cerema / DIR / collectivités</t>
        </is>
      </c>
      <c r="E33" s="67" t="inlineStr">
        <is>
          <t>Comptages routiers, publications locales</t>
        </is>
      </c>
      <c r="F33" s="67" t="inlineStr">
        <is>
          <t>Fichiers hétérogènes</t>
        </is>
      </c>
      <c r="G33" s="67" t="inlineStr">
        <is>
          <t>Point de comptage</t>
        </is>
      </c>
      <c r="H33" s="73" t="inlineStr">
        <is>
          <t>Partiel</t>
        </is>
      </c>
      <c r="I33" s="73" t="inlineStr">
        <is>
          <t>Partiel</t>
        </is>
      </c>
      <c r="J33" s="73" t="inlineStr">
        <is>
          <t>Partiel</t>
        </is>
      </c>
      <c r="K33" s="67" t="inlineStr">
        <is>
          <t>Non agrégeable</t>
        </is>
      </c>
      <c r="L33" s="67" t="inlineStr">
        <is>
          <t>Variable</t>
        </is>
      </c>
      <c r="M33" s="67" t="inlineStr">
        <is>
          <t>Variable</t>
        </is>
      </c>
      <c r="N33" s="67" t="inlineStr">
        <is>
          <t>Carte de points</t>
        </is>
      </c>
      <c r="O33" s="67" t="inlineStr">
        <is>
          <t>Variable</t>
        </is>
      </c>
      <c r="P33" s="69" t="inlineStr">
        <is>
          <t>Un flux par territoire</t>
        </is>
      </c>
      <c r="Q33" s="67" t="inlineStr">
        <is>
          <t>Couverture très inégale et formats non normalisés. Traiter comme donnée d'illustration ponctuelle, pas comme indicateur territorial.</t>
        </is>
      </c>
    </row>
    <row r="34" ht="45.75" customHeight="1" s="58">
      <c r="A34" s="65" t="inlineStr">
        <is>
          <t>TRA-05</t>
        </is>
      </c>
      <c r="B34" s="77" t="inlineStr">
        <is>
          <t>Transports &amp; mobilité</t>
        </is>
      </c>
      <c r="C34" s="67" t="inlineStr">
        <is>
          <t>Offre de transport public</t>
        </is>
      </c>
      <c r="D34" s="67" t="inlineStr">
        <is>
          <t>Point d'Accès National (transport.data.gouv.fr)</t>
        </is>
      </c>
      <c r="E34" s="67" t="inlineStr">
        <is>
          <t>Jeux de données GTFS des autorités organisatrices</t>
        </is>
      </c>
      <c r="F34" s="67" t="inlineStr">
        <is>
          <t>Téléchargement GTFS</t>
        </is>
      </c>
      <c r="G34" s="67" t="inlineStr">
        <is>
          <t>Réseau / arrêt</t>
        </is>
      </c>
      <c r="H34" s="68" t="inlineStr">
        <is>
          <t>Natif</t>
        </is>
      </c>
      <c r="I34" s="70" t="inlineStr">
        <is>
          <t>Agrégeable</t>
        </is>
      </c>
      <c r="J34" s="70" t="inlineStr">
        <is>
          <t>Agrégeable</t>
        </is>
      </c>
      <c r="K34" s="67" t="inlineStr">
        <is>
          <t>Comptage d'arrêts et de lignes</t>
        </is>
      </c>
      <c r="L34" s="67" t="inlineStr">
        <is>
          <t>Variable selon l'AOM</t>
        </is>
      </c>
      <c r="M34" s="67" t="inlineStr">
        <is>
          <t>Version courante</t>
        </is>
      </c>
      <c r="N34" s="67" t="inlineStr">
        <is>
          <t>Carte + tableau</t>
        </is>
      </c>
      <c r="O34" s="67" t="inlineStr">
        <is>
          <t>LO 2.0 / ODbL</t>
        </is>
      </c>
      <c r="P34" s="69" t="inlineStr">
        <is>
          <t>Un flux par territoire</t>
        </is>
      </c>
      <c r="Q34" s="67" t="inlineStr">
        <is>
          <t>Un fichier par réseau, pas un fichier national : prévoir un connecteur par AOM du territoire couvert.</t>
        </is>
      </c>
    </row>
    <row r="35" ht="45.75" customHeight="1" s="58">
      <c r="A35" s="65" t="inlineStr">
        <is>
          <t>TRA-06</t>
        </is>
      </c>
      <c r="B35" s="77" t="inlineStr">
        <is>
          <t>Transports &amp; mobilité</t>
        </is>
      </c>
      <c r="C35" s="67" t="inlineStr">
        <is>
          <t>Gares</t>
        </is>
      </c>
      <c r="D35" s="67" t="inlineStr">
        <is>
          <t>SNCF</t>
        </is>
      </c>
      <c r="E35" s="67" t="inlineStr">
        <is>
          <t>Référentiel des gares de voyageurs</t>
        </is>
      </c>
      <c r="F35" s="67" t="inlineStr">
        <is>
          <t>API / fichier</t>
        </is>
      </c>
      <c r="G35" s="67" t="inlineStr">
        <is>
          <t>Gare</t>
        </is>
      </c>
      <c r="H35" s="68" t="inlineStr">
        <is>
          <t>Natif</t>
        </is>
      </c>
      <c r="I35" s="70" t="inlineStr">
        <is>
          <t>Agrégeable</t>
        </is>
      </c>
      <c r="J35" s="70" t="inlineStr">
        <is>
          <t>Agrégeable</t>
        </is>
      </c>
      <c r="K35" s="67" t="inlineStr">
        <is>
          <t>Comptage</t>
        </is>
      </c>
      <c r="L35" s="67" t="inlineStr">
        <is>
          <t>Périodique</t>
        </is>
      </c>
      <c r="M35" s="67" t="inlineStr">
        <is>
          <t>Version courante</t>
        </is>
      </c>
      <c r="N35" s="67" t="inlineStr">
        <is>
          <t>Carte + tableau</t>
        </is>
      </c>
      <c r="O35" s="67" t="inlineStr">
        <is>
          <t>LO 2.0</t>
        </is>
      </c>
      <c r="P35" s="68" t="inlineStr">
        <is>
          <t>National</t>
        </is>
      </c>
      <c r="Q35" s="67" t="inlineStr">
        <is>
          <t>Distinguer gares voyageurs, haltes et gares de fret selon ce qu'on veut montrer.</t>
        </is>
      </c>
    </row>
    <row r="36" ht="45.75" customHeight="1" s="58">
      <c r="A36" s="65" t="inlineStr">
        <is>
          <t>TRA-07</t>
        </is>
      </c>
      <c r="B36" s="77" t="inlineStr">
        <is>
          <t>Transports &amp; mobilité</t>
        </is>
      </c>
      <c r="C36" s="67" t="inlineStr">
        <is>
          <t>Arrêts de transport</t>
        </is>
      </c>
      <c r="D36" s="67" t="inlineStr">
        <is>
          <t>Point d'Accès National</t>
        </is>
      </c>
      <c r="E36" s="67" t="inlineStr">
        <is>
          <t>GTFS (fichier stops)</t>
        </is>
      </c>
      <c r="F36" s="67" t="inlineStr">
        <is>
          <t>Extraction GTFS</t>
        </is>
      </c>
      <c r="G36" s="67" t="inlineStr">
        <is>
          <t>Arrêt</t>
        </is>
      </c>
      <c r="H36" s="68" t="inlineStr">
        <is>
          <t>Natif</t>
        </is>
      </c>
      <c r="I36" s="70" t="inlineStr">
        <is>
          <t>Agrégeable</t>
        </is>
      </c>
      <c r="J36" s="70" t="inlineStr">
        <is>
          <t>Agrégeable</t>
        </is>
      </c>
      <c r="K36" s="67" t="inlineStr">
        <is>
          <t>Comptage</t>
        </is>
      </c>
      <c r="L36" s="67" t="inlineStr">
        <is>
          <t>Variable</t>
        </is>
      </c>
      <c r="M36" s="67" t="inlineStr">
        <is>
          <t>Version courante</t>
        </is>
      </c>
      <c r="N36" s="67" t="inlineStr">
        <is>
          <t>Carte</t>
        </is>
      </c>
      <c r="O36" s="67" t="inlineStr">
        <is>
          <t>LO 2.0 / ODbL</t>
        </is>
      </c>
      <c r="P36" s="69" t="inlineStr">
        <is>
          <t>Un flux par territoire</t>
        </is>
      </c>
      <c r="Q36" s="67" t="inlineStr">
        <is>
          <t>Doublons fréquents entre réseaux se recouvrant : dédoublonner sur la position avant tout comptage.</t>
        </is>
      </c>
    </row>
    <row r="37" ht="45.75" customHeight="1" s="58">
      <c r="A37" s="65" t="inlineStr">
        <is>
          <t>TRA-08</t>
        </is>
      </c>
      <c r="B37" s="77" t="inlineStr">
        <is>
          <t>Transports &amp; mobilité</t>
        </is>
      </c>
      <c r="C37" s="67" t="inlineStr">
        <is>
          <t>Tracés et réseaux de lignes</t>
        </is>
      </c>
      <c r="D37" s="67" t="inlineStr">
        <is>
          <t>Point d'Accès National</t>
        </is>
      </c>
      <c r="E37" s="67" t="inlineStr">
        <is>
          <t>GTFS (fichier shapes) / NeTEx</t>
        </is>
      </c>
      <c r="F37" s="67" t="inlineStr">
        <is>
          <t>Extraction GTFS</t>
        </is>
      </c>
      <c r="G37" s="67" t="inlineStr">
        <is>
          <t>Ligne</t>
        </is>
      </c>
      <c r="H37" s="68" t="inlineStr">
        <is>
          <t>Natif</t>
        </is>
      </c>
      <c r="I37" s="73" t="inlineStr">
        <is>
          <t>Partiel</t>
        </is>
      </c>
      <c r="J37" s="70" t="inlineStr">
        <is>
          <t>Agrégeable</t>
        </is>
      </c>
      <c r="K37" s="67" t="inlineStr">
        <is>
          <t>Sans objet</t>
        </is>
      </c>
      <c r="L37" s="67" t="inlineStr">
        <is>
          <t>Variable</t>
        </is>
      </c>
      <c r="M37" s="67" t="inlineStr">
        <is>
          <t>Version courante</t>
        </is>
      </c>
      <c r="N37" s="67" t="inlineStr">
        <is>
          <t>Carte</t>
        </is>
      </c>
      <c r="O37" s="67" t="inlineStr">
        <is>
          <t>LO 2.0 / ODbL</t>
        </is>
      </c>
      <c r="P37" s="69" t="inlineStr">
        <is>
          <t>Un flux par territoire</t>
        </is>
      </c>
      <c r="Q37" s="67" t="inlineStr">
        <is>
          <t>Une ligne traverse plusieurs territoires : l'afficher entière plutôt que la découper.</t>
        </is>
      </c>
    </row>
    <row r="38" ht="45.75" customHeight="1" s="58">
      <c r="A38" s="65" t="inlineStr">
        <is>
          <t>TRA-09</t>
        </is>
      </c>
      <c r="B38" s="77" t="inlineStr">
        <is>
          <t>Transports &amp; mobilité</t>
        </is>
      </c>
      <c r="C38" s="67" t="inlineStr">
        <is>
          <t>Horaires de transport</t>
        </is>
      </c>
      <c r="D38" s="67" t="inlineStr">
        <is>
          <t>Point d'Accès National</t>
        </is>
      </c>
      <c r="E38" s="67" t="inlineStr">
        <is>
          <t>GTFS statique, SIRI pour le temps réel</t>
        </is>
      </c>
      <c r="F38" s="67" t="inlineStr">
        <is>
          <t>Fichier / API temps réel</t>
        </is>
      </c>
      <c r="G38" s="67" t="inlineStr">
        <is>
          <t>Ligne / arrêt</t>
        </is>
      </c>
      <c r="H38" s="68" t="inlineStr">
        <is>
          <t>Natif</t>
        </is>
      </c>
      <c r="I38" s="75" t="inlineStr">
        <is>
          <t>Sans objet</t>
        </is>
      </c>
      <c r="J38" s="75" t="inlineStr">
        <is>
          <t>Sans objet</t>
        </is>
      </c>
      <c r="K38" s="67" t="inlineStr">
        <is>
          <t>Sans objet</t>
        </is>
      </c>
      <c r="L38" s="67" t="inlineStr">
        <is>
          <t>Continue</t>
        </is>
      </c>
      <c r="M38" s="67" t="inlineStr">
        <is>
          <t>Version courante</t>
        </is>
      </c>
      <c r="N38" s="67" t="inlineStr">
        <is>
          <t>Tableau</t>
        </is>
      </c>
      <c r="O38" s="67" t="inlineStr">
        <is>
          <t>LO 2.0 / ODbL</t>
        </is>
      </c>
      <c r="P38" s="69" t="inlineStr">
        <is>
          <t>Un flux par territoire</t>
        </is>
      </c>
      <c r="Q38" s="67" t="inlineStr">
        <is>
          <t>Le temps réel impose une architecture différente (pas d'ETL nocturne). À écarter de l'objectif principal, à traiter en évolution.</t>
        </is>
      </c>
    </row>
    <row r="39" ht="45.75" customHeight="1" s="58">
      <c r="A39" s="65" t="inlineStr">
        <is>
          <t>TRA-10</t>
        </is>
      </c>
      <c r="B39" s="77" t="inlineStr">
        <is>
          <t>Transports &amp; mobilité</t>
        </is>
      </c>
      <c r="C39" s="67" t="inlineStr">
        <is>
          <t>Stationnement</t>
        </is>
      </c>
      <c r="D39" s="67" t="inlineStr">
        <is>
          <t>Point d'Accès National / OSM</t>
        </is>
      </c>
      <c r="E39" s="67" t="inlineStr">
        <is>
          <t>Base nationale des lieux de stationnement</t>
        </is>
      </c>
      <c r="F39" s="67" t="inlineStr">
        <is>
          <t>Fichier / API</t>
        </is>
      </c>
      <c r="G39" s="67" t="inlineStr">
        <is>
          <t>Parking</t>
        </is>
      </c>
      <c r="H39" s="73" t="inlineStr">
        <is>
          <t>Partiel</t>
        </is>
      </c>
      <c r="I39" s="73" t="inlineStr">
        <is>
          <t>Partiel</t>
        </is>
      </c>
      <c r="J39" s="73" t="inlineStr">
        <is>
          <t>Partiel</t>
        </is>
      </c>
      <c r="K39" s="67" t="inlineStr">
        <is>
          <t>Comptage et somme des capacités</t>
        </is>
      </c>
      <c r="L39" s="67" t="inlineStr">
        <is>
          <t>Variable</t>
        </is>
      </c>
      <c r="M39" s="67" t="inlineStr">
        <is>
          <t>Version courante</t>
        </is>
      </c>
      <c r="N39" s="67" t="inlineStr">
        <is>
          <t>Carte + tableau</t>
        </is>
      </c>
      <c r="O39" s="67" t="inlineStr">
        <is>
          <t>LO 2.0 / ODbL</t>
        </is>
      </c>
      <c r="P39" s="72" t="inlineStr">
        <is>
          <t>National, couverture variable</t>
        </is>
      </c>
      <c r="Q39" s="67" t="inlineStr">
        <is>
          <t>Couverture dépendante du volontariat des collectivités : lacunaire hors grandes agglomérations.</t>
        </is>
      </c>
    </row>
    <row r="40" ht="45.75" customHeight="1" s="58">
      <c r="A40" s="65" t="inlineStr">
        <is>
          <t>TRA-11</t>
        </is>
      </c>
      <c r="B40" s="77" t="inlineStr">
        <is>
          <t>Transports &amp; mobilité</t>
        </is>
      </c>
      <c r="C40" s="67" t="inlineStr">
        <is>
          <t>Bornes de recharge pour véhicules électriques</t>
        </is>
      </c>
      <c r="D40" s="67" t="inlineStr">
        <is>
          <t>Etalab / opérateurs</t>
        </is>
      </c>
      <c r="E40" s="67" t="inlineStr">
        <is>
          <t>Base nationale des IRVE</t>
        </is>
      </c>
      <c r="F40" s="67" t="inlineStr">
        <is>
          <t>Fichier / API</t>
        </is>
      </c>
      <c r="G40" s="67" t="inlineStr">
        <is>
          <t>Point de charge</t>
        </is>
      </c>
      <c r="H40" s="68" t="inlineStr">
        <is>
          <t>Natif</t>
        </is>
      </c>
      <c r="I40" s="70" t="inlineStr">
        <is>
          <t>Agrégeable</t>
        </is>
      </c>
      <c r="J40" s="70" t="inlineStr">
        <is>
          <t>Agrégeable</t>
        </is>
      </c>
      <c r="K40" s="67" t="inlineStr">
        <is>
          <t>Comptage points et puissance cumulée</t>
        </is>
      </c>
      <c r="L40" s="67" t="inlineStr">
        <is>
          <t>Quotidienne</t>
        </is>
      </c>
      <c r="M40" s="67" t="inlineStr">
        <is>
          <t>Version courante</t>
        </is>
      </c>
      <c r="N40" s="67" t="inlineStr">
        <is>
          <t>Carte + tableau</t>
        </is>
      </c>
      <c r="O40" s="67" t="inlineStr">
        <is>
          <t>LO 2.0</t>
        </is>
      </c>
      <c r="P40" s="68" t="inlineStr">
        <is>
          <t>National</t>
        </is>
      </c>
      <c r="Q40" s="67" t="inlineStr">
        <is>
          <t>Distinguer station et point de charge : les deux comptages diffèrent fortement.</t>
        </is>
      </c>
      <c r="R40" s="57" t="inlineStr">
        <is>
          <t>prévu — carburants</t>
        </is>
      </c>
    </row>
    <row r="41" ht="45.75" customHeight="1" s="58">
      <c r="A41" s="65" t="inlineStr">
        <is>
          <t>TRA-12</t>
        </is>
      </c>
      <c r="B41" s="77" t="inlineStr">
        <is>
          <t>Transports &amp; mobilité</t>
        </is>
      </c>
      <c r="C41" s="67" t="inlineStr">
        <is>
          <t>Aménagements cyclables</t>
        </is>
      </c>
      <c r="D41" s="67" t="inlineStr">
        <is>
          <t>Aménagements cyclables (base nationale)</t>
        </is>
      </c>
      <c r="E41" s="67" t="inlineStr">
        <is>
          <t>Base nationale des aménagements cyclables</t>
        </is>
      </c>
      <c r="F41" s="67" t="inlineStr">
        <is>
          <t>Fichier / API</t>
        </is>
      </c>
      <c r="G41" s="67" t="inlineStr">
        <is>
          <t>Tronçon</t>
        </is>
      </c>
      <c r="H41" s="68" t="inlineStr">
        <is>
          <t>Natif</t>
        </is>
      </c>
      <c r="I41" s="70" t="inlineStr">
        <is>
          <t>Agrégeable</t>
        </is>
      </c>
      <c r="J41" s="70" t="inlineStr">
        <is>
          <t>Agrégeable</t>
        </is>
      </c>
      <c r="K41" s="67" t="inlineStr">
        <is>
          <t>Linéaire par découpage</t>
        </is>
      </c>
      <c r="L41" s="67" t="inlineStr">
        <is>
          <t>Continue</t>
        </is>
      </c>
      <c r="M41" s="67" t="inlineStr">
        <is>
          <t>Version courante</t>
        </is>
      </c>
      <c r="N41" s="67" t="inlineStr">
        <is>
          <t>Carte + linéaire</t>
        </is>
      </c>
      <c r="O41" s="67" t="inlineStr">
        <is>
          <t>LO 2.0 / ODbL</t>
        </is>
      </c>
      <c r="P41" s="68" t="inlineStr">
        <is>
          <t>National</t>
        </is>
      </c>
      <c r="Q41" s="67" t="inlineStr">
        <is>
          <t>Qualité dépendante du versement par les collectivités. Vérifier la couverture réelle sur la zone avant de retenir l'indicateur.</t>
        </is>
      </c>
    </row>
    <row r="42" ht="45.75" customHeight="1" s="58">
      <c r="A42" s="65" t="inlineStr">
        <is>
          <t>TRA-13</t>
        </is>
      </c>
      <c r="B42" s="77" t="inlineStr">
        <is>
          <t>Transports &amp; mobilité</t>
        </is>
      </c>
      <c r="C42" s="67" t="inlineStr">
        <is>
          <t>Stationnement vélo</t>
        </is>
      </c>
      <c r="D42" s="67" t="inlineStr">
        <is>
          <t>Base nationale du stationnement cyclable</t>
        </is>
      </c>
      <c r="E42" s="67" t="inlineStr">
        <is>
          <t>Base nationale du stationnement vélo</t>
        </is>
      </c>
      <c r="F42" s="67" t="inlineStr">
        <is>
          <t>Fichier</t>
        </is>
      </c>
      <c r="G42" s="67" t="inlineStr">
        <is>
          <t>Équipement</t>
        </is>
      </c>
      <c r="H42" s="73" t="inlineStr">
        <is>
          <t>Partiel</t>
        </is>
      </c>
      <c r="I42" s="73" t="inlineStr">
        <is>
          <t>Partiel</t>
        </is>
      </c>
      <c r="J42" s="73" t="inlineStr">
        <is>
          <t>Partiel</t>
        </is>
      </c>
      <c r="K42" s="67" t="inlineStr">
        <is>
          <t>Comptage et capacité</t>
        </is>
      </c>
      <c r="L42" s="67" t="inlineStr">
        <is>
          <t>Continue</t>
        </is>
      </c>
      <c r="M42" s="67" t="inlineStr">
        <is>
          <t>Version courante</t>
        </is>
      </c>
      <c r="N42" s="67" t="inlineStr">
        <is>
          <t>Carte</t>
        </is>
      </c>
      <c r="O42" s="67" t="inlineStr">
        <is>
          <t>LO 2.0 / ODbL</t>
        </is>
      </c>
      <c r="P42" s="72" t="inlineStr">
        <is>
          <t>National, couverture variable</t>
        </is>
      </c>
      <c r="Q42" s="67" t="inlineStr">
        <is>
          <t>Couverture partielle. Compléter éventuellement par OpenStreetMap en signalant la différence de source.</t>
        </is>
      </c>
    </row>
    <row r="43" ht="45.75" customHeight="1" s="58">
      <c r="A43" s="65" t="inlineStr">
        <is>
          <t>TRA-14</t>
        </is>
      </c>
      <c r="B43" s="77" t="inlineStr">
        <is>
          <t>Transports &amp; mobilité</t>
        </is>
      </c>
      <c r="C43" s="67" t="inlineStr">
        <is>
          <t>Déplacements domicile-travail</t>
        </is>
      </c>
      <c r="D43" s="67" t="inlineStr">
        <is>
          <t>INSEE</t>
        </is>
      </c>
      <c r="E43" s="67" t="inlineStr">
        <is>
          <t>Recensement – mobilités professionnelles (MOBPRO)</t>
        </is>
      </c>
      <c r="F43" s="67" t="inlineStr">
        <is>
          <t>Fichier CSV volumineux</t>
        </is>
      </c>
      <c r="G43" s="67" t="inlineStr">
        <is>
          <t>Commune (flux)</t>
        </is>
      </c>
      <c r="H43" s="68" t="inlineStr">
        <is>
          <t>Natif</t>
        </is>
      </c>
      <c r="I43" s="71" t="inlineStr">
        <is>
          <t>Non</t>
        </is>
      </c>
      <c r="J43" s="70" t="inlineStr">
        <is>
          <t>Agrégeable</t>
        </is>
      </c>
      <c r="K43" s="67" t="inlineStr">
        <is>
          <t>Somme des flux, hors flux internes</t>
        </is>
      </c>
      <c r="L43" s="67" t="inlineStr">
        <is>
          <t>Annuelle</t>
        </is>
      </c>
      <c r="M43" s="67" t="inlineStr">
        <is>
          <t>Millésime N-3</t>
        </is>
      </c>
      <c r="N43" s="67" t="inlineStr">
        <is>
          <t>Carte de flux + tableau</t>
        </is>
      </c>
      <c r="O43" s="67" t="inlineStr">
        <is>
          <t>LO 2.0</t>
        </is>
      </c>
      <c r="P43" s="68" t="inlineStr">
        <is>
          <t>National</t>
        </is>
      </c>
      <c r="Q43" s="67" t="inlineStr">
        <is>
          <t>Un des indicateurs les plus parlants à l'échelle intercommunale. Même précaution sur les flux internes que POP-07.</t>
        </is>
      </c>
    </row>
    <row r="44" ht="45.75" customHeight="1" s="58">
      <c r="A44" s="65" t="inlineStr">
        <is>
          <t>TRA-15</t>
        </is>
      </c>
      <c r="B44" s="77" t="inlineStr">
        <is>
          <t>Transports &amp; mobilité</t>
        </is>
      </c>
      <c r="C44" s="67" t="inlineStr">
        <is>
          <t>Travaux et restrictions de circulation</t>
        </is>
      </c>
      <c r="D44" s="67" t="inlineStr">
        <is>
          <t>Collectivités / DiaLog</t>
        </is>
      </c>
      <c r="E44" s="67" t="inlineStr">
        <is>
          <t>Arrêtés de circulation numérisés</t>
        </is>
      </c>
      <c r="F44" s="67" t="inlineStr">
        <is>
          <t>API</t>
        </is>
      </c>
      <c r="G44" s="67" t="inlineStr">
        <is>
          <t>Arrêté / tronçon</t>
        </is>
      </c>
      <c r="H44" s="73" t="inlineStr">
        <is>
          <t>Partiel</t>
        </is>
      </c>
      <c r="I44" s="73" t="inlineStr">
        <is>
          <t>Partiel</t>
        </is>
      </c>
      <c r="J44" s="73" t="inlineStr">
        <is>
          <t>Partiel</t>
        </is>
      </c>
      <c r="K44" s="67" t="inlineStr">
        <is>
          <t>Sans objet</t>
        </is>
      </c>
      <c r="L44" s="67" t="inlineStr">
        <is>
          <t>Continue</t>
        </is>
      </c>
      <c r="M44" s="67" t="inlineStr">
        <is>
          <t>Version courante</t>
        </is>
      </c>
      <c r="N44" s="67" t="inlineStr">
        <is>
          <t>Carte + liste</t>
        </is>
      </c>
      <c r="O44" s="67" t="inlineStr">
        <is>
          <t>LO 2.0</t>
        </is>
      </c>
      <c r="P44" s="72" t="inlineStr">
        <is>
          <t>National, couverture variable</t>
        </is>
      </c>
      <c r="Q44" s="67" t="inlineStr">
        <is>
          <t>Dispositif en cours de déploiement, couverture faible. À écarter de l'objectif principal.</t>
        </is>
      </c>
    </row>
    <row r="45" ht="45.75" customHeight="1" s="58">
      <c r="A45" s="65" t="inlineStr">
        <is>
          <t>URB-01</t>
        </is>
      </c>
      <c r="B45" s="78" t="inlineStr">
        <is>
          <t>Urbanisme &amp; construction</t>
        </is>
      </c>
      <c r="C45" s="67" t="inlineStr">
        <is>
          <t>Documents d'urbanisme (PLU / PLUi)</t>
        </is>
      </c>
      <c r="D45" s="67" t="inlineStr">
        <is>
          <t>Géoportail de l'urbanisme</t>
        </is>
      </c>
      <c r="E45" s="67" t="inlineStr">
        <is>
          <t>Documents d'urbanisme versés au GPU</t>
        </is>
      </c>
      <c r="F45" s="67" t="inlineStr">
        <is>
          <t>WFS / téléchargement</t>
        </is>
      </c>
      <c r="G45" s="67" t="inlineStr">
        <is>
          <t>Document communal ou intercommunal</t>
        </is>
      </c>
      <c r="H45" s="73" t="inlineStr">
        <is>
          <t>Partiel</t>
        </is>
      </c>
      <c r="I45" s="73" t="inlineStr">
        <is>
          <t>Partiel</t>
        </is>
      </c>
      <c r="J45" s="73" t="inlineStr">
        <is>
          <t>Partiel</t>
        </is>
      </c>
      <c r="K45" s="67" t="inlineStr">
        <is>
          <t>Sans objet</t>
        </is>
      </c>
      <c r="L45" s="67" t="inlineStr">
        <is>
          <t>Continue</t>
        </is>
      </c>
      <c r="M45" s="67" t="inlineStr">
        <is>
          <t>Version en vigueur</t>
        </is>
      </c>
      <c r="N45" s="67" t="inlineStr">
        <is>
          <t>Carte</t>
        </is>
      </c>
      <c r="O45" s="67" t="inlineStr">
        <is>
          <t>LO 2.0</t>
        </is>
      </c>
      <c r="P45" s="72" t="inlineStr">
        <is>
          <t>National, couverture variable</t>
        </is>
      </c>
      <c r="Q45" s="67" t="inlineStr">
        <is>
          <t>Seules les collectivités ayant versé leur document sont présentes. Vérifier la couverture réelle de la zone dès l'amont.</t>
        </is>
      </c>
    </row>
    <row r="46" ht="45.75" customHeight="1" s="58">
      <c r="A46" s="65" t="inlineStr">
        <is>
          <t>URB-02</t>
        </is>
      </c>
      <c r="B46" s="78" t="inlineStr">
        <is>
          <t>Urbanisme &amp; construction</t>
        </is>
      </c>
      <c r="C46" s="67" t="inlineStr">
        <is>
          <t>Zonages d'urbanisme</t>
        </is>
      </c>
      <c r="D46" s="67" t="inlineStr">
        <is>
          <t>Géoportail de l'urbanisme</t>
        </is>
      </c>
      <c r="E46" s="67" t="inlineStr">
        <is>
          <t>Zonages des documents versés</t>
        </is>
      </c>
      <c r="F46" s="67" t="inlineStr">
        <is>
          <t>WFS</t>
        </is>
      </c>
      <c r="G46" s="67" t="inlineStr">
        <is>
          <t>Zone</t>
        </is>
      </c>
      <c r="H46" s="73" t="inlineStr">
        <is>
          <t>Partiel</t>
        </is>
      </c>
      <c r="I46" s="73" t="inlineStr">
        <is>
          <t>Partiel</t>
        </is>
      </c>
      <c r="J46" s="73" t="inlineStr">
        <is>
          <t>Partiel</t>
        </is>
      </c>
      <c r="K46" s="67" t="inlineStr">
        <is>
          <t>Surface par type de zone</t>
        </is>
      </c>
      <c r="L46" s="67" t="inlineStr">
        <is>
          <t>Continue</t>
        </is>
      </c>
      <c r="M46" s="67" t="inlineStr">
        <is>
          <t>Version en vigueur</t>
        </is>
      </c>
      <c r="N46" s="67" t="inlineStr">
        <is>
          <t>Carte + tableau de surfaces</t>
        </is>
      </c>
      <c r="O46" s="67" t="inlineStr">
        <is>
          <t>LO 2.0</t>
        </is>
      </c>
      <c r="P46" s="72" t="inlineStr">
        <is>
          <t>National, couverture variable</t>
        </is>
      </c>
      <c r="Q46" s="67" t="inlineStr">
        <is>
          <t>Nomenclature de zonage non strictement homogène entre documents : comparaison entre communes à manier avec prudence.</t>
        </is>
      </c>
    </row>
    <row r="47" ht="45.75" customHeight="1" s="58">
      <c r="A47" s="65" t="inlineStr">
        <is>
          <t>URB-03</t>
        </is>
      </c>
      <c r="B47" s="78" t="inlineStr">
        <is>
          <t>Urbanisme &amp; construction</t>
        </is>
      </c>
      <c r="C47" s="67" t="inlineStr">
        <is>
          <t>Servitudes d'utilité publique</t>
        </is>
      </c>
      <c r="D47" s="67" t="inlineStr">
        <is>
          <t>Géoportail de l'urbanisme</t>
        </is>
      </c>
      <c r="E47" s="67" t="inlineStr">
        <is>
          <t>SUP</t>
        </is>
      </c>
      <c r="F47" s="67" t="inlineStr">
        <is>
          <t>WFS</t>
        </is>
      </c>
      <c r="G47" s="67" t="inlineStr">
        <is>
          <t>Servitude</t>
        </is>
      </c>
      <c r="H47" s="73" t="inlineStr">
        <is>
          <t>Partiel</t>
        </is>
      </c>
      <c r="I47" s="73" t="inlineStr">
        <is>
          <t>Partiel</t>
        </is>
      </c>
      <c r="J47" s="73" t="inlineStr">
        <is>
          <t>Partiel</t>
        </is>
      </c>
      <c r="K47" s="67" t="inlineStr">
        <is>
          <t>Sans objet</t>
        </is>
      </c>
      <c r="L47" s="67" t="inlineStr">
        <is>
          <t>Continue</t>
        </is>
      </c>
      <c r="M47" s="67" t="inlineStr">
        <is>
          <t>Version en vigueur</t>
        </is>
      </c>
      <c r="N47" s="67" t="inlineStr">
        <is>
          <t>Carte</t>
        </is>
      </c>
      <c r="O47" s="67" t="inlineStr">
        <is>
          <t>LO 2.0</t>
        </is>
      </c>
      <c r="P47" s="72" t="inlineStr">
        <is>
          <t>National, couverture variable</t>
        </is>
      </c>
      <c r="Q47" s="67" t="inlineStr">
        <is>
          <t>Même réserve de couverture que URB-01.</t>
        </is>
      </c>
    </row>
    <row r="48" ht="45.75" customHeight="1" s="58">
      <c r="A48" s="65" t="inlineStr">
        <is>
          <t>URB-04</t>
        </is>
      </c>
      <c r="B48" s="78" t="inlineStr">
        <is>
          <t>Urbanisme &amp; construction</t>
        </is>
      </c>
      <c r="C48" s="67" t="inlineStr">
        <is>
          <t>Cadastre</t>
        </is>
      </c>
      <c r="D48" s="67" t="inlineStr">
        <is>
          <t>DGFiP / Etalab</t>
        </is>
      </c>
      <c r="E48" s="67" t="inlineStr">
        <is>
          <t>Plan cadastral informatisé (vecteur)</t>
        </is>
      </c>
      <c r="F48" s="67" t="inlineStr">
        <is>
          <t>Téléchargement par commune</t>
        </is>
      </c>
      <c r="G48" s="67" t="inlineStr">
        <is>
          <t>Parcelle</t>
        </is>
      </c>
      <c r="H48" s="68" t="inlineStr">
        <is>
          <t>Natif</t>
        </is>
      </c>
      <c r="I48" s="68" t="inlineStr">
        <is>
          <t>Natif</t>
        </is>
      </c>
      <c r="J48" s="68" t="inlineStr">
        <is>
          <t>Natif</t>
        </is>
      </c>
      <c r="K48" s="67" t="inlineStr">
        <is>
          <t>Surface cumulée</t>
        </is>
      </c>
      <c r="L48" s="67" t="inlineStr">
        <is>
          <t>Trimestrielle</t>
        </is>
      </c>
      <c r="M48" s="67" t="inlineStr">
        <is>
          <t>Millésime courant</t>
        </is>
      </c>
      <c r="N48" s="67" t="inlineStr">
        <is>
          <t>Carte</t>
        </is>
      </c>
      <c r="O48" s="67" t="inlineStr">
        <is>
          <t>LO 2.0</t>
        </is>
      </c>
      <c r="P48" s="76" t="inlineStr">
        <is>
          <t>Commune par commune</t>
        </is>
      </c>
      <c r="Q48" s="67" t="inlineStr">
        <is>
          <t>Identique à GEO-05 : une seule donnée rattachée à deux catégories, pas deux chargements.</t>
        </is>
      </c>
    </row>
    <row r="49" ht="45.75" customHeight="1" s="58">
      <c r="A49" s="65" t="inlineStr">
        <is>
          <t>URB-05</t>
        </is>
      </c>
      <c r="B49" s="78" t="inlineStr">
        <is>
          <t>Urbanisme &amp; construction</t>
        </is>
      </c>
      <c r="C49" s="67" t="inlineStr">
        <is>
          <t>Permis de construire et autorisations d'urbanisme</t>
        </is>
      </c>
      <c r="D49" s="67" t="inlineStr">
        <is>
          <t>SDES (ministère)</t>
        </is>
      </c>
      <c r="E49" s="67" t="inlineStr">
        <is>
          <t>Sitadel</t>
        </is>
      </c>
      <c r="F49" s="67" t="inlineStr">
        <is>
          <t>Fichier CSV</t>
        </is>
      </c>
      <c r="G49" s="67" t="inlineStr">
        <is>
          <t>Commune</t>
        </is>
      </c>
      <c r="H49" s="68" t="inlineStr">
        <is>
          <t>Natif</t>
        </is>
      </c>
      <c r="I49" s="69" t="inlineStr">
        <is>
          <t>Reconstitué</t>
        </is>
      </c>
      <c r="J49" s="70" t="inlineStr">
        <is>
          <t>Agrégeable</t>
        </is>
      </c>
      <c r="K49" s="67" t="inlineStr">
        <is>
          <t>Somme</t>
        </is>
      </c>
      <c r="L49" s="67" t="inlineStr">
        <is>
          <t>Mensuelle et annuelle</t>
        </is>
      </c>
      <c r="M49" s="67" t="inlineStr">
        <is>
          <t>Année en cours</t>
        </is>
      </c>
      <c r="N49" s="67" t="inlineStr">
        <is>
          <t>Courbe + tableau</t>
        </is>
      </c>
      <c r="O49" s="67" t="inlineStr">
        <is>
          <t>LO 2.0</t>
        </is>
      </c>
      <c r="P49" s="68" t="inlineStr">
        <is>
          <t>National</t>
        </is>
      </c>
      <c r="Q49" s="67" t="inlineStr">
        <is>
          <t>Distinguer logements autorisés et logements commencés : deux séries différentes souvent confondues.</t>
        </is>
      </c>
    </row>
    <row r="50" ht="45.75" customHeight="1" s="58">
      <c r="A50" s="65" t="inlineStr">
        <is>
          <t>URB-06</t>
        </is>
      </c>
      <c r="B50" s="78" t="inlineStr">
        <is>
          <t>Urbanisme &amp; construction</t>
        </is>
      </c>
      <c r="C50" s="67" t="inlineStr">
        <is>
          <t>Construction de logements</t>
        </is>
      </c>
      <c r="D50" s="67" t="inlineStr">
        <is>
          <t>SDES</t>
        </is>
      </c>
      <c r="E50" s="67" t="inlineStr">
        <is>
          <t>Sitadel – logements autorisés / commencés</t>
        </is>
      </c>
      <c r="F50" s="67" t="inlineStr">
        <is>
          <t>Fichier CSV</t>
        </is>
      </c>
      <c r="G50" s="67" t="inlineStr">
        <is>
          <t>Commune</t>
        </is>
      </c>
      <c r="H50" s="68" t="inlineStr">
        <is>
          <t>Natif</t>
        </is>
      </c>
      <c r="I50" s="69" t="inlineStr">
        <is>
          <t>Reconstitué</t>
        </is>
      </c>
      <c r="J50" s="70" t="inlineStr">
        <is>
          <t>Agrégeable</t>
        </is>
      </c>
      <c r="K50" s="67" t="inlineStr">
        <is>
          <t>Somme</t>
        </is>
      </c>
      <c r="L50" s="67" t="inlineStr">
        <is>
          <t>Mensuelle</t>
        </is>
      </c>
      <c r="M50" s="67" t="inlineStr">
        <is>
          <t>Année en cours</t>
        </is>
      </c>
      <c r="N50" s="67" t="inlineStr">
        <is>
          <t>Courbe</t>
        </is>
      </c>
      <c r="O50" s="67" t="inlineStr">
        <is>
          <t>LO 2.0</t>
        </is>
      </c>
      <c r="P50" s="68" t="inlineStr">
        <is>
          <t>National</t>
        </is>
      </c>
      <c r="Q50" s="67" t="inlineStr">
        <is>
          <t>Fortes variations d'une année sur l'autre sur petite commune : privilégier des moyennes glissantes.</t>
        </is>
      </c>
    </row>
    <row r="51" ht="45.75" customHeight="1" s="58">
      <c r="A51" s="65" t="inlineStr">
        <is>
          <t>URB-07</t>
        </is>
      </c>
      <c r="B51" s="78" t="inlineStr">
        <is>
          <t>Urbanisme &amp; construction</t>
        </is>
      </c>
      <c r="C51" s="67" t="inlineStr">
        <is>
          <t>Bâtiments</t>
        </is>
      </c>
      <c r="D51" s="67" t="inlineStr">
        <is>
          <t>IGN / CSTB</t>
        </is>
      </c>
      <c r="E51" s="67" t="inlineStr">
        <is>
          <t>BD TOPO (bâti), Base de Données Nationale des Bâtiments</t>
        </is>
      </c>
      <c r="F51" s="67" t="inlineStr">
        <is>
          <t>WFS / téléchargement</t>
        </is>
      </c>
      <c r="G51" s="67" t="inlineStr">
        <is>
          <t>Bâtiment</t>
        </is>
      </c>
      <c r="H51" s="68" t="inlineStr">
        <is>
          <t>Natif</t>
        </is>
      </c>
      <c r="I51" s="68" t="inlineStr">
        <is>
          <t>Natif</t>
        </is>
      </c>
      <c r="J51" s="68" t="inlineStr">
        <is>
          <t>Natif</t>
        </is>
      </c>
      <c r="K51" s="67" t="inlineStr">
        <is>
          <t>Comptage / emprise au sol</t>
        </is>
      </c>
      <c r="L51" s="67" t="inlineStr">
        <is>
          <t>Périodique</t>
        </is>
      </c>
      <c r="M51" s="67" t="inlineStr">
        <is>
          <t>Millésime courant</t>
        </is>
      </c>
      <c r="N51" s="67" t="inlineStr">
        <is>
          <t>Carte</t>
        </is>
      </c>
      <c r="O51" s="67" t="inlineStr">
        <is>
          <t>À vérifier</t>
        </is>
      </c>
      <c r="P51" s="68" t="inlineStr">
        <is>
          <t>National</t>
        </is>
      </c>
      <c r="Q51" s="67" t="inlineStr">
        <is>
          <t>Vérifier la licence exacte de la BDNB avant usage public : elle diffère de celle de la BD TOPO.</t>
        </is>
      </c>
    </row>
    <row r="52" ht="45.75" customHeight="1" s="58">
      <c r="A52" s="65" t="inlineStr">
        <is>
          <t>URB-08</t>
        </is>
      </c>
      <c r="B52" s="78" t="inlineStr">
        <is>
          <t>Urbanisme &amp; construction</t>
        </is>
      </c>
      <c r="C52" s="67" t="inlineStr">
        <is>
          <t>Parc de logements</t>
        </is>
      </c>
      <c r="D52" s="67" t="inlineStr">
        <is>
          <t>INSEE</t>
        </is>
      </c>
      <c r="E52" s="67" t="inlineStr">
        <is>
          <t>Recensement – base Logement</t>
        </is>
      </c>
      <c r="F52" s="67" t="inlineStr">
        <is>
          <t>Fichier CSV</t>
        </is>
      </c>
      <c r="G52" s="67" t="inlineStr">
        <is>
          <t>Commune</t>
        </is>
      </c>
      <c r="H52" s="68" t="inlineStr">
        <is>
          <t>Natif</t>
        </is>
      </c>
      <c r="I52" s="69" t="inlineStr">
        <is>
          <t>Reconstitué</t>
        </is>
      </c>
      <c r="J52" s="70" t="inlineStr">
        <is>
          <t>Agrégeable</t>
        </is>
      </c>
      <c r="K52" s="67" t="inlineStr">
        <is>
          <t>Somme ; taux recalculés</t>
        </is>
      </c>
      <c r="L52" s="67" t="inlineStr">
        <is>
          <t>Annuelle</t>
        </is>
      </c>
      <c r="M52" s="67" t="inlineStr">
        <is>
          <t>Millésime N-3</t>
        </is>
      </c>
      <c r="N52" s="67" t="inlineStr">
        <is>
          <t>Tableau + graphique</t>
        </is>
      </c>
      <c r="O52" s="67" t="inlineStr">
        <is>
          <t>LO 2.0</t>
        </is>
      </c>
      <c r="P52" s="68" t="inlineStr">
        <is>
          <t>National</t>
        </is>
      </c>
      <c r="Q52" s="67" t="inlineStr">
        <is>
          <t>Taux de vacance et part de résidences secondaires sont des ratios : les recalculer après agrégation.</t>
        </is>
      </c>
      <c r="R52" s="57" t="inlineStr">
        <is>
          <t>oui — 11</t>
        </is>
      </c>
    </row>
    <row r="53" ht="45.75" customHeight="1" s="58">
      <c r="A53" s="65" t="inlineStr">
        <is>
          <t>URB-09</t>
        </is>
      </c>
      <c r="B53" s="78" t="inlineStr">
        <is>
          <t>Urbanisme &amp; construction</t>
        </is>
      </c>
      <c r="C53" s="67" t="inlineStr">
        <is>
          <t>Logement social</t>
        </is>
      </c>
      <c r="D53" s="67" t="inlineStr">
        <is>
          <t>SDES</t>
        </is>
      </c>
      <c r="E53" s="67" t="inlineStr">
        <is>
          <t>Répertoire des logements locatifs des bailleurs sociaux (RPLS)</t>
        </is>
      </c>
      <c r="F53" s="67" t="inlineStr">
        <is>
          <t>Fichier CSV</t>
        </is>
      </c>
      <c r="G53" s="67" t="inlineStr">
        <is>
          <t>Commune</t>
        </is>
      </c>
      <c r="H53" s="68" t="inlineStr">
        <is>
          <t>Natif</t>
        </is>
      </c>
      <c r="I53" s="69" t="inlineStr">
        <is>
          <t>Reconstitué</t>
        </is>
      </c>
      <c r="J53" s="70" t="inlineStr">
        <is>
          <t>Agrégeable</t>
        </is>
      </c>
      <c r="K53" s="67" t="inlineStr">
        <is>
          <t>Somme</t>
        </is>
      </c>
      <c r="L53" s="67" t="inlineStr">
        <is>
          <t>Annuelle</t>
        </is>
      </c>
      <c r="M53" s="67" t="inlineStr">
        <is>
          <t>1er janvier N</t>
        </is>
      </c>
      <c r="N53" s="67" t="inlineStr">
        <is>
          <t>Tableau + carte</t>
        </is>
      </c>
      <c r="O53" s="67" t="inlineStr">
        <is>
          <t>LO 2.0</t>
        </is>
      </c>
      <c r="P53" s="68" t="inlineStr">
        <is>
          <t>National</t>
        </is>
      </c>
      <c r="Q53" s="67" t="inlineStr">
        <is>
          <t>Croiser avec URB-08 pour le taux de logement social ; recalculer le ratio à chaque niveau.</t>
        </is>
      </c>
    </row>
    <row r="54" ht="45.75" customHeight="1" s="58">
      <c r="A54" s="65" t="inlineStr">
        <is>
          <t>URB-10</t>
        </is>
      </c>
      <c r="B54" s="78" t="inlineStr">
        <is>
          <t>Urbanisme &amp; construction</t>
        </is>
      </c>
      <c r="C54" s="67" t="inlineStr">
        <is>
          <t>Prix et volumes des mutations immobilières</t>
        </is>
      </c>
      <c r="D54" s="67" t="inlineStr">
        <is>
          <t>DGFiP</t>
        </is>
      </c>
      <c r="E54" s="67" t="inlineStr">
        <is>
          <t>Demandes de valeurs foncières (DVF)</t>
        </is>
      </c>
      <c r="F54" s="67" t="inlineStr">
        <is>
          <t>Fichier / API</t>
        </is>
      </c>
      <c r="G54" s="67" t="inlineStr">
        <is>
          <t>Mutation géolocalisée</t>
        </is>
      </c>
      <c r="H54" s="68" t="inlineStr">
        <is>
          <t>Natif</t>
        </is>
      </c>
      <c r="I54" s="70" t="inlineStr">
        <is>
          <t>Agrégeable</t>
        </is>
      </c>
      <c r="J54" s="70" t="inlineStr">
        <is>
          <t>Agrégeable</t>
        </is>
      </c>
      <c r="K54" s="67" t="inlineStr">
        <is>
          <t>Comptage ; prix médian non agrégeable</t>
        </is>
      </c>
      <c r="L54" s="67" t="inlineStr">
        <is>
          <t>Semestrielle</t>
        </is>
      </c>
      <c r="M54" s="67" t="inlineStr">
        <is>
          <t>Cinq dernières années</t>
        </is>
      </c>
      <c r="N54" s="67" t="inlineStr">
        <is>
          <t>Carte + série de prix</t>
        </is>
      </c>
      <c r="O54" s="67" t="inlineStr">
        <is>
          <t>LO 2.0</t>
        </is>
      </c>
      <c r="P54" s="68" t="inlineStr">
        <is>
          <t>National</t>
        </is>
      </c>
      <c r="Q54" s="67" t="inlineStr">
        <is>
          <t>Ajout validé (absent de la liste initiale). Le prix médian se recalcule sur les mutations elles-mêmes, jamais en moyennant des médianes communales. Exclure au préalable les ventes atypiques (dépendances seules, biens multiples, valeurs aberrantes).</t>
        </is>
      </c>
    </row>
    <row r="55" ht="45.75" customHeight="1" s="58">
      <c r="A55" s="65" t="inlineStr">
        <is>
          <t>URB-11</t>
        </is>
      </c>
      <c r="B55" s="78" t="inlineStr">
        <is>
          <t>Urbanisme &amp; construction</t>
        </is>
      </c>
      <c r="C55" s="67" t="inlineStr">
        <is>
          <t>Artificialisation des sols</t>
        </is>
      </c>
      <c r="D55" s="67" t="inlineStr">
        <is>
          <t>Cerema</t>
        </is>
      </c>
      <c r="E55" s="67" t="inlineStr">
        <is>
          <t>Portail national de l'artificialisation des sols</t>
        </is>
      </c>
      <c r="F55" s="67" t="inlineStr">
        <is>
          <t>Fichier CSV</t>
        </is>
      </c>
      <c r="G55" s="67" t="inlineStr">
        <is>
          <t>Commune</t>
        </is>
      </c>
      <c r="H55" s="68" t="inlineStr">
        <is>
          <t>Natif</t>
        </is>
      </c>
      <c r="I55" s="69" t="inlineStr">
        <is>
          <t>Reconstitué</t>
        </is>
      </c>
      <c r="J55" s="70" t="inlineStr">
        <is>
          <t>Agrégeable</t>
        </is>
      </c>
      <c r="K55" s="67" t="inlineStr">
        <is>
          <t>Somme des surfaces</t>
        </is>
      </c>
      <c r="L55" s="67" t="inlineStr">
        <is>
          <t>Annuelle</t>
        </is>
      </c>
      <c r="M55" s="67" t="inlineStr">
        <is>
          <t>Millésime courant</t>
        </is>
      </c>
      <c r="N55" s="67" t="inlineStr">
        <is>
          <t>Courbe + carte</t>
        </is>
      </c>
      <c r="O55" s="67" t="inlineStr">
        <is>
          <t>LO 2.0</t>
        </is>
      </c>
      <c r="P55" s="68" t="inlineStr">
        <is>
          <t>National</t>
        </is>
      </c>
      <c r="Q55" s="67" t="inlineStr">
        <is>
          <t>Sujet sensible et méthodologie évolutive : afficher explicitement la méthode et le millésime retenus.</t>
        </is>
      </c>
    </row>
    <row r="56" ht="45.75" customHeight="1" s="58">
      <c r="A56" s="65" t="inlineStr">
        <is>
          <t>URB-12</t>
        </is>
      </c>
      <c r="B56" s="78" t="inlineStr">
        <is>
          <t>Urbanisme &amp; construction</t>
        </is>
      </c>
      <c r="C56" s="67" t="inlineStr">
        <is>
          <t>Risques naturels et technologiques</t>
        </is>
      </c>
      <c r="D56" s="67" t="inlineStr">
        <is>
          <t>BRGM / MTE</t>
        </is>
      </c>
      <c r="E56" s="67" t="inlineStr">
        <is>
          <t>Géorisques (PPR, argiles, radon, sismicité, inondation)</t>
        </is>
      </c>
      <c r="F56" s="67" t="inlineStr">
        <is>
          <t>API / WFS</t>
        </is>
      </c>
      <c r="G56" s="67" t="inlineStr">
        <is>
          <t>Zonage / commune</t>
        </is>
      </c>
      <c r="H56" s="68" t="inlineStr">
        <is>
          <t>Natif</t>
        </is>
      </c>
      <c r="I56" s="69" t="inlineStr">
        <is>
          <t>Reconstitué</t>
        </is>
      </c>
      <c r="J56" s="70" t="inlineStr">
        <is>
          <t>Agrégeable</t>
        </is>
      </c>
      <c r="K56" s="67" t="inlineStr">
        <is>
          <t>Selon la donnée : zonage ou statut communal</t>
        </is>
      </c>
      <c r="L56" s="67" t="inlineStr">
        <is>
          <t>Variable</t>
        </is>
      </c>
      <c r="M56" s="67" t="inlineStr">
        <is>
          <t>Version courante</t>
        </is>
      </c>
      <c r="N56" s="67" t="inlineStr">
        <is>
          <t>Carte + fiche synthèse</t>
        </is>
      </c>
      <c r="O56" s="67" t="inlineStr">
        <is>
          <t>LO 2.0</t>
        </is>
      </c>
      <c r="P56" s="68" t="inlineStr">
        <is>
          <t>National</t>
        </is>
      </c>
      <c r="Q56" s="67" t="inlineStr">
        <is>
          <t>Transverse avec Environnement et Eau. Ne jamais présenter comme un diagnostic opposable : renvoyer vers l'état des risques officiel.</t>
        </is>
      </c>
      <c r="R56" s="57" t="inlineStr">
        <is>
          <t>oui — 08</t>
        </is>
      </c>
    </row>
    <row r="57" ht="45.75" customHeight="1" s="58">
      <c r="A57" s="65" t="inlineStr">
        <is>
          <t>POL-01</t>
        </is>
      </c>
      <c r="B57" s="79" t="inlineStr">
        <is>
          <t>Politique &amp; démocratie</t>
        </is>
      </c>
      <c r="C57" s="67" t="inlineStr">
        <is>
          <t>Résultats – élection présidentielle</t>
        </is>
      </c>
      <c r="D57" s="67" t="inlineStr">
        <is>
          <t>Ministère de l'Intérieur</t>
        </is>
      </c>
      <c r="E57" s="67" t="inlineStr">
        <is>
          <t>Résultats par commune et par bureau de vote</t>
        </is>
      </c>
      <c r="F57" s="67" t="inlineStr">
        <is>
          <t>Fichier CSV / API</t>
        </is>
      </c>
      <c r="G57" s="67" t="inlineStr">
        <is>
          <t>Bureau de vote</t>
        </is>
      </c>
      <c r="H57" s="68" t="inlineStr">
        <is>
          <t>Natif</t>
        </is>
      </c>
      <c r="I57" s="70" t="inlineStr">
        <is>
          <t>Agrégeable</t>
        </is>
      </c>
      <c r="J57" s="70" t="inlineStr">
        <is>
          <t>Agrégeable</t>
        </is>
      </c>
      <c r="K57" s="67" t="inlineStr">
        <is>
          <t>Somme des voix ; pourcentages recalculés</t>
        </is>
      </c>
      <c r="L57" s="67" t="inlineStr">
        <is>
          <t>Tous les 5 ans</t>
        </is>
      </c>
      <c r="M57" s="67" t="inlineStr">
        <is>
          <t>2022, puis avril-mai 2027</t>
        </is>
      </c>
      <c r="N57" s="67" t="inlineStr">
        <is>
          <t>Tableau + carte + série</t>
        </is>
      </c>
      <c r="O57" s="67" t="inlineStr">
        <is>
          <t>LO 2.0</t>
        </is>
      </c>
      <c r="P57" s="68" t="inlineStr">
        <is>
          <t>National</t>
        </is>
      </c>
      <c r="Q57" s="67" t="inlineStr">
        <is>
          <t>Le niveau bureau de vote permet de reconstituer exactement le canton, y compris pour une commune scindée. C'est la seule donnée du catalogue qui le permette.</t>
        </is>
      </c>
    </row>
    <row r="58" ht="45.75" customHeight="1" s="58">
      <c r="A58" s="65" t="inlineStr">
        <is>
          <t>POL-02</t>
        </is>
      </c>
      <c r="B58" s="79" t="inlineStr">
        <is>
          <t>Politique &amp; démocratie</t>
        </is>
      </c>
      <c r="C58" s="67" t="inlineStr">
        <is>
          <t>Résultats – élections législatives</t>
        </is>
      </c>
      <c r="D58" s="67" t="inlineStr">
        <is>
          <t>Ministère de l'Intérieur</t>
        </is>
      </c>
      <c r="E58" s="67" t="inlineStr">
        <is>
          <t>Résultats par commune et par bureau de vote</t>
        </is>
      </c>
      <c r="F58" s="67" t="inlineStr">
        <is>
          <t>Fichier CSV / API</t>
        </is>
      </c>
      <c r="G58" s="67" t="inlineStr">
        <is>
          <t>Bureau de vote</t>
        </is>
      </c>
      <c r="H58" s="68" t="inlineStr">
        <is>
          <t>Natif</t>
        </is>
      </c>
      <c r="I58" s="70" t="inlineStr">
        <is>
          <t>Agrégeable</t>
        </is>
      </c>
      <c r="J58" s="70" t="inlineStr">
        <is>
          <t>Agrégeable</t>
        </is>
      </c>
      <c r="K58" s="67" t="inlineStr">
        <is>
          <t>Somme des voix ; pourcentages recalculés</t>
        </is>
      </c>
      <c r="L58" s="67" t="inlineStr">
        <is>
          <t>Tous les 5 ans ou après dissolution</t>
        </is>
      </c>
      <c r="M58" s="67" t="inlineStr">
        <is>
          <t>2024</t>
        </is>
      </c>
      <c r="N58" s="67" t="inlineStr">
        <is>
          <t>Tableau + carte</t>
        </is>
      </c>
      <c r="O58" s="67" t="inlineStr">
        <is>
          <t>LO 2.0</t>
        </is>
      </c>
      <c r="P58" s="68" t="inlineStr">
        <is>
          <t>National</t>
        </is>
      </c>
      <c r="Q58" s="67" t="inlineStr">
        <is>
          <t>La circonscription est une quatrième géographie, distincte du canton et de l'EPCI. Ne pas la confondre ni tenter de la faire coïncider.</t>
        </is>
      </c>
    </row>
    <row r="59" ht="45.75" customHeight="1" s="58">
      <c r="A59" s="65" t="inlineStr">
        <is>
          <t>POL-03</t>
        </is>
      </c>
      <c r="B59" s="79" t="inlineStr">
        <is>
          <t>Politique &amp; démocratie</t>
        </is>
      </c>
      <c r="C59" s="67" t="inlineStr">
        <is>
          <t>Résultats – élections départementales</t>
        </is>
      </c>
      <c r="D59" s="67" t="inlineStr">
        <is>
          <t>Ministère de l'Intérieur</t>
        </is>
      </c>
      <c r="E59" s="67" t="inlineStr">
        <is>
          <t>Résultats par canton et par commune</t>
        </is>
      </c>
      <c r="F59" s="67" t="inlineStr">
        <is>
          <t>Fichier CSV / API</t>
        </is>
      </c>
      <c r="G59" s="67" t="inlineStr">
        <is>
          <t>Canton</t>
        </is>
      </c>
      <c r="H59" s="68" t="inlineStr">
        <is>
          <t>Natif</t>
        </is>
      </c>
      <c r="I59" s="68" t="inlineStr">
        <is>
          <t>Natif</t>
        </is>
      </c>
      <c r="J59" s="70" t="inlineStr">
        <is>
          <t>Agrégeable</t>
        </is>
      </c>
      <c r="K59" s="67" t="inlineStr">
        <is>
          <t>Aucun calcul au canton</t>
        </is>
      </c>
      <c r="L59" s="67" t="inlineStr">
        <is>
          <t>Tous les 6 ans</t>
        </is>
      </c>
      <c r="M59" s="67" t="inlineStr">
        <is>
          <t>2021, puis mars 2028</t>
        </is>
      </c>
      <c r="N59" s="67" t="inlineStr">
        <is>
          <t>Tableau + carte cantonale</t>
        </is>
      </c>
      <c r="O59" s="67" t="inlineStr">
        <is>
          <t>LO 2.0</t>
        </is>
      </c>
      <c r="P59" s="68" t="inlineStr">
        <is>
          <t>National</t>
        </is>
      </c>
      <c r="Q59" s="67" t="inlineStr">
        <is>
          <t>Seule donnée nativement cantonale du catalogue. Scrutin binominal paritaire : le résultat porte sur un binôme, pas sur une personne.</t>
        </is>
      </c>
    </row>
    <row r="60" ht="45.75" customHeight="1" s="58">
      <c r="A60" s="65" t="inlineStr">
        <is>
          <t>POL-04</t>
        </is>
      </c>
      <c r="B60" s="79" t="inlineStr">
        <is>
          <t>Politique &amp; démocratie</t>
        </is>
      </c>
      <c r="C60" s="67" t="inlineStr">
        <is>
          <t>Résultats – élections régionales</t>
        </is>
      </c>
      <c r="D60" s="67" t="inlineStr">
        <is>
          <t>Ministère de l'Intérieur</t>
        </is>
      </c>
      <c r="E60" s="67" t="inlineStr">
        <is>
          <t>Résultats par commune</t>
        </is>
      </c>
      <c r="F60" s="67" t="inlineStr">
        <is>
          <t>Fichier CSV / API</t>
        </is>
      </c>
      <c r="G60" s="67" t="inlineStr">
        <is>
          <t>Commune</t>
        </is>
      </c>
      <c r="H60" s="68" t="inlineStr">
        <is>
          <t>Natif</t>
        </is>
      </c>
      <c r="I60" s="70" t="inlineStr">
        <is>
          <t>Agrégeable</t>
        </is>
      </c>
      <c r="J60" s="70" t="inlineStr">
        <is>
          <t>Agrégeable</t>
        </is>
      </c>
      <c r="K60" s="67" t="inlineStr">
        <is>
          <t>Somme des voix ; pourcentages recalculés</t>
        </is>
      </c>
      <c r="L60" s="67" t="inlineStr">
        <is>
          <t>Tous les 6 ans</t>
        </is>
      </c>
      <c r="M60" s="67" t="inlineStr">
        <is>
          <t>2021, puis mars 2028</t>
        </is>
      </c>
      <c r="N60" s="67" t="inlineStr">
        <is>
          <t>Tableau + carte</t>
        </is>
      </c>
      <c r="O60" s="67" t="inlineStr">
        <is>
          <t>LO 2.0</t>
        </is>
      </c>
      <c r="P60" s="68" t="inlineStr">
        <is>
          <t>National</t>
        </is>
      </c>
      <c r="Q60" s="67" t="inlineStr">
        <is>
          <t>Scrutin de liste régional : le vainqueur local n'a pas de portée politique directe sur le territoire.</t>
        </is>
      </c>
    </row>
    <row r="61" ht="45.75" customHeight="1" s="58">
      <c r="A61" s="65" t="inlineStr">
        <is>
          <t>POL-05</t>
        </is>
      </c>
      <c r="B61" s="79" t="inlineStr">
        <is>
          <t>Politique &amp; démocratie</t>
        </is>
      </c>
      <c r="C61" s="67" t="inlineStr">
        <is>
          <t>Résultats – élections européennes</t>
        </is>
      </c>
      <c r="D61" s="67" t="inlineStr">
        <is>
          <t>Ministère de l'Intérieur</t>
        </is>
      </c>
      <c r="E61" s="67" t="inlineStr">
        <is>
          <t>Résultats par commune</t>
        </is>
      </c>
      <c r="F61" s="67" t="inlineStr">
        <is>
          <t>Fichier CSV / API</t>
        </is>
      </c>
      <c r="G61" s="67" t="inlineStr">
        <is>
          <t>Commune</t>
        </is>
      </c>
      <c r="H61" s="68" t="inlineStr">
        <is>
          <t>Natif</t>
        </is>
      </c>
      <c r="I61" s="70" t="inlineStr">
        <is>
          <t>Agrégeable</t>
        </is>
      </c>
      <c r="J61" s="70" t="inlineStr">
        <is>
          <t>Agrégeable</t>
        </is>
      </c>
      <c r="K61" s="67" t="inlineStr">
        <is>
          <t>Somme des voix ; pourcentages recalculés</t>
        </is>
      </c>
      <c r="L61" s="67" t="inlineStr">
        <is>
          <t>Tous les 5 ans</t>
        </is>
      </c>
      <c r="M61" s="67" t="inlineStr">
        <is>
          <t>2024</t>
        </is>
      </c>
      <c r="N61" s="67" t="inlineStr">
        <is>
          <t>Tableau + carte</t>
        </is>
      </c>
      <c r="O61" s="67" t="inlineStr">
        <is>
          <t>LO 2.0</t>
        </is>
      </c>
      <c r="P61" s="68" t="inlineStr">
        <is>
          <t>National</t>
        </is>
      </c>
      <c r="Q61" s="67" t="inlineStr">
        <is>
          <t>Circonscription nationale unique : c'est le scrutin le plus comparable dans le temps entre territoires.</t>
        </is>
      </c>
    </row>
    <row r="62" ht="45.75" customHeight="1" s="58">
      <c r="A62" s="65" t="inlineStr">
        <is>
          <t>POL-06</t>
        </is>
      </c>
      <c r="B62" s="79" t="inlineStr">
        <is>
          <t>Politique &amp; démocratie</t>
        </is>
      </c>
      <c r="C62" s="67" t="inlineStr">
        <is>
          <t>Résultats – élections municipales</t>
        </is>
      </c>
      <c r="D62" s="67" t="inlineStr">
        <is>
          <t>Ministère de l'Intérieur</t>
        </is>
      </c>
      <c r="E62" s="67" t="inlineStr">
        <is>
          <t>Résultats par commune</t>
        </is>
      </c>
      <c r="F62" s="67" t="inlineStr">
        <is>
          <t>Fichier CSV / API</t>
        </is>
      </c>
      <c r="G62" s="67" t="inlineStr">
        <is>
          <t>Commune</t>
        </is>
      </c>
      <c r="H62" s="68" t="inlineStr">
        <is>
          <t>Natif</t>
        </is>
      </c>
      <c r="I62" s="75" t="inlineStr">
        <is>
          <t>Sans objet</t>
        </is>
      </c>
      <c r="J62" s="75" t="inlineStr">
        <is>
          <t>Sans objet</t>
        </is>
      </c>
      <c r="K62" s="67" t="inlineStr">
        <is>
          <t>Non agrégeable</t>
        </is>
      </c>
      <c r="L62" s="67" t="inlineStr">
        <is>
          <t>Tous les 6 ans</t>
        </is>
      </c>
      <c r="M62" s="67" t="inlineStr">
        <is>
          <t>Mars 2026</t>
        </is>
      </c>
      <c r="N62" s="67" t="inlineStr">
        <is>
          <t>Tableau</t>
        </is>
      </c>
      <c r="O62" s="67" t="inlineStr">
        <is>
          <t>LO 2.0</t>
        </is>
      </c>
      <c r="P62" s="68" t="inlineStr">
        <is>
          <t>National</t>
        </is>
      </c>
      <c r="Q62" s="67" t="inlineStr">
        <is>
          <t>Listes locales sans nuance nationale comparable, et modes de scrutin différents au-dessus et en dessous de 1 000 habitants. Toute agrégation serait dénuée de sens.</t>
        </is>
      </c>
    </row>
    <row r="63" ht="45.75" customHeight="1" s="58">
      <c r="A63" s="65" t="inlineStr">
        <is>
          <t>POL-07</t>
        </is>
      </c>
      <c r="B63" s="79" t="inlineStr">
        <is>
          <t>Politique &amp; démocratie</t>
        </is>
      </c>
      <c r="C63" s="67" t="inlineStr">
        <is>
          <t>Participation et abstention</t>
        </is>
      </c>
      <c r="D63" s="67" t="inlineStr">
        <is>
          <t>Calculé</t>
        </is>
      </c>
      <c r="E63" s="67" t="inlineStr">
        <is>
          <t>Dérivé des résultats (inscrits, votants, blancs, nuls)</t>
        </is>
      </c>
      <c r="F63" s="67" t="inlineStr">
        <is>
          <t>Calcul interne</t>
        </is>
      </c>
      <c r="G63" s="67" t="inlineStr">
        <is>
          <t>Bureau de vote</t>
        </is>
      </c>
      <c r="H63" s="72" t="inlineStr">
        <is>
          <t>Recalculé</t>
        </is>
      </c>
      <c r="I63" s="72" t="inlineStr">
        <is>
          <t>Recalculé</t>
        </is>
      </c>
      <c r="J63" s="72" t="inlineStr">
        <is>
          <t>Recalculé</t>
        </is>
      </c>
      <c r="K63" s="67" t="inlineStr">
        <is>
          <t>Votants agrégés / inscrits agrégés</t>
        </is>
      </c>
      <c r="L63" s="67" t="inlineStr">
        <is>
          <t>À chaque scrutin</t>
        </is>
      </c>
      <c r="M63" s="67" t="inlineStr">
        <is>
          <t>Aligné sur le scrutin</t>
        </is>
      </c>
      <c r="N63" s="67" t="inlineStr">
        <is>
          <t>Courbe + carte</t>
        </is>
      </c>
      <c r="O63" s="67" t="inlineStr">
        <is>
          <t>LO 2.0</t>
        </is>
      </c>
      <c r="P63" s="68" t="inlineStr">
        <is>
          <t>National</t>
        </is>
      </c>
      <c r="Q63" s="67" t="inlineStr">
        <is>
          <t>L'indicateur le plus comparable dans le temps, à condition de ne comparer qu'entre scrutins de même nature.</t>
        </is>
      </c>
    </row>
    <row r="64" ht="45.75" customHeight="1" s="58">
      <c r="A64" s="65" t="inlineStr">
        <is>
          <t>POL-08</t>
        </is>
      </c>
      <c r="B64" s="79" t="inlineStr">
        <is>
          <t>Politique &amp; démocratie</t>
        </is>
      </c>
      <c r="C64" s="67" t="inlineStr">
        <is>
          <t>Bureaux de vote</t>
        </is>
      </c>
      <c r="D64" s="67" t="inlineStr">
        <is>
          <t>Ministère de l'Intérieur / INSEE</t>
        </is>
      </c>
      <c r="E64" s="67" t="inlineStr">
        <is>
          <t>Répertoire des bureaux de vote et de leurs adresses</t>
        </is>
      </c>
      <c r="F64" s="67" t="inlineStr">
        <is>
          <t>Fichier CSV géolocalisé</t>
        </is>
      </c>
      <c r="G64" s="67" t="inlineStr">
        <is>
          <t>Bureau de vote</t>
        </is>
      </c>
      <c r="H64" s="68" t="inlineStr">
        <is>
          <t>Natif</t>
        </is>
      </c>
      <c r="I64" s="70" t="inlineStr">
        <is>
          <t>Agrégeable</t>
        </is>
      </c>
      <c r="J64" s="70" t="inlineStr">
        <is>
          <t>Agrégeable</t>
        </is>
      </c>
      <c r="K64" s="67" t="inlineStr">
        <is>
          <t>Comptage</t>
        </is>
      </c>
      <c r="L64" s="67" t="inlineStr">
        <is>
          <t>Annuelle</t>
        </is>
      </c>
      <c r="M64" s="67" t="inlineStr">
        <is>
          <t>Version courante</t>
        </is>
      </c>
      <c r="N64" s="67" t="inlineStr">
        <is>
          <t>Carte + tableau</t>
        </is>
      </c>
      <c r="O64" s="67" t="inlineStr">
        <is>
          <t>LO 2.0</t>
        </is>
      </c>
      <c r="P64" s="68" t="inlineStr">
        <is>
          <t>National</t>
        </is>
      </c>
      <c r="Q64" s="67" t="inlineStr">
        <is>
          <t>Clé de passage entre le découpage électoral et le découpage administratif. À charger avant tout résultat électoral.</t>
        </is>
      </c>
    </row>
    <row r="65" ht="45.75" customHeight="1" s="58">
      <c r="A65" s="65" t="inlineStr">
        <is>
          <t>POL-09</t>
        </is>
      </c>
      <c r="B65" s="79" t="inlineStr">
        <is>
          <t>Politique &amp; démocratie</t>
        </is>
      </c>
      <c r="C65" s="67" t="inlineStr">
        <is>
          <t>Élus locaux</t>
        </is>
      </c>
      <c r="D65" s="67" t="inlineStr">
        <is>
          <t>Ministère de l'Intérieur</t>
        </is>
      </c>
      <c r="E65" s="67" t="inlineStr">
        <is>
          <t>Répertoire National des Élus (RNE)</t>
        </is>
      </c>
      <c r="F65" s="67" t="inlineStr">
        <is>
          <t>Fichier CSV</t>
        </is>
      </c>
      <c r="G65" s="67" t="inlineStr">
        <is>
          <t>Commune / mandat</t>
        </is>
      </c>
      <c r="H65" s="68" t="inlineStr">
        <is>
          <t>Natif</t>
        </is>
      </c>
      <c r="I65" s="70" t="inlineStr">
        <is>
          <t>Agrégeable</t>
        </is>
      </c>
      <c r="J65" s="68" t="inlineStr">
        <is>
          <t>Natif</t>
        </is>
      </c>
      <c r="K65" s="67" t="inlineStr">
        <is>
          <t>Comptage ; répartitions recalculées</t>
        </is>
      </c>
      <c r="L65" s="67" t="inlineStr">
        <is>
          <t>Continue</t>
        </is>
      </c>
      <c r="M65" s="67" t="inlineStr">
        <is>
          <t>Version courante</t>
        </is>
      </c>
      <c r="N65" s="67" t="inlineStr">
        <is>
          <t>Tableau</t>
        </is>
      </c>
      <c r="O65" s="67" t="inlineStr">
        <is>
          <t>LO 2.0</t>
        </is>
      </c>
      <c r="P65" s="68" t="inlineStr">
        <is>
          <t>National</t>
        </is>
      </c>
      <c r="Q65" s="67" t="inlineStr">
        <is>
          <t>Contient des données personnelles publiques (nom, âge, profession). Exposer les personnes en fonction, pas d'historique nominatif reconstitué.</t>
        </is>
      </c>
      <c r="R65" s="57" t="inlineStr">
        <is>
          <t>oui — 15</t>
        </is>
      </c>
    </row>
    <row r="66" ht="45.75" customHeight="1" s="58">
      <c r="A66" s="65" t="inlineStr">
        <is>
          <t>POL-10</t>
        </is>
      </c>
      <c r="B66" s="79" t="inlineStr">
        <is>
          <t>Politique &amp; démocratie</t>
        </is>
      </c>
      <c r="C66" s="67" t="inlineStr">
        <is>
          <t>Découpage électoral</t>
        </is>
      </c>
      <c r="D66" s="67" t="inlineStr">
        <is>
          <t>IGN / Ministère de l'Intérieur</t>
        </is>
      </c>
      <c r="E66" s="67" t="inlineStr">
        <is>
          <t>Contours des cantons et circonscriptions législatives</t>
        </is>
      </c>
      <c r="F66" s="67" t="inlineStr">
        <is>
          <t>WFS / fichier</t>
        </is>
      </c>
      <c r="G66" s="67" t="inlineStr">
        <is>
          <t>Canton / circonscription</t>
        </is>
      </c>
      <c r="H66" s="75" t="inlineStr">
        <is>
          <t>Sans objet</t>
        </is>
      </c>
      <c r="I66" s="68" t="inlineStr">
        <is>
          <t>Natif</t>
        </is>
      </c>
      <c r="J66" s="75" t="inlineStr">
        <is>
          <t>Sans objet</t>
        </is>
      </c>
      <c r="K66" s="67" t="inlineStr">
        <is>
          <t>Sans objet (géométrie)</t>
        </is>
      </c>
      <c r="L66" s="67" t="inlineStr">
        <is>
          <t>À chaque redécoupage</t>
        </is>
      </c>
      <c r="M66" s="67" t="inlineStr">
        <is>
          <t>Cantons depuis 2015</t>
        </is>
      </c>
      <c r="N66" s="67" t="inlineStr">
        <is>
          <t>Carte</t>
        </is>
      </c>
      <c r="O66" s="67" t="inlineStr">
        <is>
          <t>LO 2.0</t>
        </is>
      </c>
      <c r="P66" s="68" t="inlineStr">
        <is>
          <t>National</t>
        </is>
      </c>
      <c r="Q66" s="67" t="inlineStr">
        <is>
          <t>Rupture majeure : le redécoupage cantonal de 2015 interdit toute comparaison avant/après à cette maille.</t>
        </is>
      </c>
    </row>
    <row r="67" ht="45.75" customHeight="1" s="58">
      <c r="A67" s="65" t="inlineStr">
        <is>
          <t>POL-11</t>
        </is>
      </c>
      <c r="B67" s="79" t="inlineStr">
        <is>
          <t>Politique &amp; démocratie</t>
        </is>
      </c>
      <c r="C67" s="67" t="inlineStr">
        <is>
          <t>Transparence de la vie publique</t>
        </is>
      </c>
      <c r="D67" s="67" t="inlineStr">
        <is>
          <t>HATVP</t>
        </is>
      </c>
      <c r="E67" s="67" t="inlineStr">
        <is>
          <t>Déclarations d'intérêts et de patrimoine</t>
        </is>
      </c>
      <c r="F67" s="67" t="inlineStr">
        <is>
          <t>Fichier / API</t>
        </is>
      </c>
      <c r="G67" s="67" t="inlineStr">
        <is>
          <t>Personne</t>
        </is>
      </c>
      <c r="H67" s="71" t="inlineStr">
        <is>
          <t>Non</t>
        </is>
      </c>
      <c r="I67" s="71" t="inlineStr">
        <is>
          <t>Non</t>
        </is>
      </c>
      <c r="J67" s="71" t="inlineStr">
        <is>
          <t>Non</t>
        </is>
      </c>
      <c r="K67" s="67" t="inlineStr">
        <is>
          <t>Sans objet</t>
        </is>
      </c>
      <c r="L67" s="67" t="inlineStr">
        <is>
          <t>Continue</t>
        </is>
      </c>
      <c r="M67" s="67" t="inlineStr">
        <is>
          <t>Version courante</t>
        </is>
      </c>
      <c r="N67" s="67" t="inlineStr">
        <is>
          <t>Lien externe</t>
        </is>
      </c>
      <c r="O67" s="67" t="inlineStr">
        <is>
          <t>LO 2.0</t>
        </is>
      </c>
      <c r="P67" s="68" t="inlineStr">
        <is>
          <t>National</t>
        </is>
      </c>
      <c r="Q67" s="67" t="inlineStr">
        <is>
          <t>Aucune maille territoriale exploitable et sujet sensible. À écarter : renvoyer vers le site de la HATVP plutôt que republier.</t>
        </is>
      </c>
    </row>
    <row r="68">
      <c r="A68" s="65" t="inlineStr">
        <is>
          <t>EAU-01</t>
        </is>
      </c>
      <c r="B68" s="67" t="inlineStr">
        <is>
          <t>Environnement &amp; risques</t>
        </is>
      </c>
      <c r="C68" s="67" t="inlineStr">
        <is>
          <t>Conformité de l'eau potable</t>
        </is>
      </c>
      <c r="D68" s="67" t="inlineStr">
        <is>
          <t>ARS / ministère de la Santé</t>
        </is>
      </c>
      <c r="E68" s="67" t="inlineStr">
        <is>
          <t>Hub'Eau — contrôle sanitaire</t>
        </is>
      </c>
      <c r="F68" s="67" t="inlineStr">
        <is>
          <t>API REST sans clé</t>
        </is>
      </c>
      <c r="G68" s="67" t="inlineStr">
        <is>
          <t>Réseau de distribution</t>
        </is>
      </c>
      <c r="H68" s="75" t="inlineStr">
        <is>
          <t>Natif</t>
        </is>
      </c>
      <c r="I68" s="75" t="inlineStr">
        <is>
          <t>Non pertinent</t>
        </is>
      </c>
      <c r="J68" s="75" t="inlineStr">
        <is>
          <t>Non pertinent</t>
        </is>
      </c>
      <c r="K68" s="67" t="inlineStr">
        <is>
          <t>Aucune — les réseaux ne suivent pas les limites</t>
        </is>
      </c>
      <c r="L68" s="67" t="inlineStr">
        <is>
          <t>Mensuelle</t>
        </is>
      </c>
      <c r="M68" s="67" t="inlineStr">
        <is>
          <t>12 mois glissants</t>
        </is>
      </c>
      <c r="N68" s="67" t="inlineStr">
        <is>
          <t>Tuile + bloc par réseau</t>
        </is>
      </c>
      <c r="O68" s="67" t="inlineStr">
        <is>
          <t>LO 2.0</t>
        </is>
      </c>
      <c r="P68" s="75" t="inlineStr">
        <is>
          <t>National</t>
        </is>
      </c>
      <c r="Q68" s="67" t="inlineStr">
        <is>
          <t>Champ de conformité parfois vide : écarter le prélèvement plutôt que le compter non conforme</t>
        </is>
      </c>
      <c r="R68" s="57" t="inlineStr">
        <is>
          <t>oui — 06</t>
        </is>
      </c>
    </row>
    <row r="69">
      <c r="A69" s="65" t="inlineStr">
        <is>
          <t>EAU-04</t>
        </is>
      </c>
      <c r="B69" s="67" t="inlineStr">
        <is>
          <t>Environnement &amp; risques</t>
        </is>
      </c>
      <c r="C69" s="67" t="inlineStr">
        <is>
          <t>Nitrates, dureté, pH, chlore</t>
        </is>
      </c>
      <c r="D69" s="67" t="inlineStr">
        <is>
          <t>ARS</t>
        </is>
      </c>
      <c r="E69" s="67" t="inlineStr">
        <is>
          <t>Hub'Eau — contrôle sanitaire</t>
        </is>
      </c>
      <c r="F69" s="67" t="inlineStr">
        <is>
          <t>API REST sans clé</t>
        </is>
      </c>
      <c r="G69" s="67" t="inlineStr">
        <is>
          <t>Réseau</t>
        </is>
      </c>
      <c r="H69" s="75" t="inlineStr">
        <is>
          <t>Natif</t>
        </is>
      </c>
      <c r="I69" s="75" t="inlineStr">
        <is>
          <t>Non pertinent</t>
        </is>
      </c>
      <c r="J69" s="75" t="inlineStr">
        <is>
          <t>Non pertinent</t>
        </is>
      </c>
      <c r="K69" s="67" t="inlineStr">
        <is>
          <t>Aucune</t>
        </is>
      </c>
      <c r="L69" s="67" t="inlineStr">
        <is>
          <t>Mensuelle</t>
        </is>
      </c>
      <c r="M69" s="67" t="inlineStr">
        <is>
          <t>12 mois glissants</t>
        </is>
      </c>
      <c r="N69" s="67" t="inlineStr">
        <is>
          <t>Tuiles avec seuil réglementaire</t>
        </is>
      </c>
      <c r="O69" s="67" t="inlineStr">
        <is>
          <t>LO 2.0</t>
        </is>
      </c>
      <c r="P69" s="75" t="inlineStr">
        <is>
          <t>National</t>
        </is>
      </c>
      <c r="Q69" s="67" t="inlineStr">
        <is>
          <t>Distinguer limite de qualité et référence de qualité</t>
        </is>
      </c>
      <c r="R69" s="57" t="inlineStr">
        <is>
          <t>oui — 06</t>
        </is>
      </c>
    </row>
    <row r="70">
      <c r="A70" s="65" t="inlineStr">
        <is>
          <t>EAU-10</t>
        </is>
      </c>
      <c r="B70" s="67" t="inlineStr">
        <is>
          <t>Environnement &amp; risques</t>
        </is>
      </c>
      <c r="C70" s="67" t="inlineStr">
        <is>
          <t>Restrictions sécheresse</t>
        </is>
      </c>
      <c r="D70" s="67" t="inlineStr">
        <is>
          <t>Ministère de la Transition écologique</t>
        </is>
      </c>
      <c r="E70" s="67" t="inlineStr">
        <is>
          <t>VigiEau</t>
        </is>
      </c>
      <c r="F70" s="67" t="inlineStr">
        <is>
          <t>API REST sans clé</t>
        </is>
      </c>
      <c r="G70" s="67" t="inlineStr">
        <is>
          <t>Zone d'alerte</t>
        </is>
      </c>
      <c r="H70" s="75" t="inlineStr">
        <is>
          <t>Natif</t>
        </is>
      </c>
      <c r="I70" s="75" t="inlineStr">
        <is>
          <t>Reconstitué</t>
        </is>
      </c>
      <c r="J70" s="75" t="inlineStr">
        <is>
          <t>Reconstitué</t>
        </is>
      </c>
      <c r="K70" s="67" t="inlineStr">
        <is>
          <t>Niveau le plus grave</t>
        </is>
      </c>
      <c r="L70" s="67" t="inlineStr">
        <is>
          <t>Quotidienne</t>
        </is>
      </c>
      <c r="M70" s="67" t="inlineStr">
        <is>
          <t>Temps réel</t>
        </is>
      </c>
      <c r="N70" s="67" t="inlineStr">
        <is>
          <t>Bandeau d'alerte + bloc des usages</t>
        </is>
      </c>
      <c r="O70" s="67" t="inlineStr">
        <is>
          <t>LO 2.0</t>
        </is>
      </c>
      <c r="P70" s="75" t="inlineStr">
        <is>
          <t>National</t>
        </is>
      </c>
      <c r="Q70" s="67" t="inlineStr">
        <is>
          <t>Coordonnées exigées si la commune relève de plusieurs zones</t>
        </is>
      </c>
      <c r="R70" s="57" t="inlineStr">
        <is>
          <t>oui — 07</t>
        </is>
      </c>
    </row>
    <row r="71">
      <c r="A71" s="65" t="inlineStr">
        <is>
          <t>EAU-20</t>
        </is>
      </c>
      <c r="B71" s="67" t="inlineStr">
        <is>
          <t>Environnement &amp; risques</t>
        </is>
      </c>
      <c r="C71" s="67" t="inlineStr">
        <is>
          <t>Niveau des nappes</t>
        </is>
      </c>
      <c r="D71" s="67" t="inlineStr">
        <is>
          <t>BRGM / réseau ADES</t>
        </is>
      </c>
      <c r="E71" s="67" t="inlineStr">
        <is>
          <t>Hub'Eau — niveaux nappes</t>
        </is>
      </c>
      <c r="F71" s="67" t="inlineStr">
        <is>
          <t>API REST sans clé</t>
        </is>
      </c>
      <c r="G71" s="67" t="inlineStr">
        <is>
          <t>Station piézométrique</t>
        </is>
      </c>
      <c r="H71" s="75" t="inlineStr">
        <is>
          <t>Non pertinent</t>
        </is>
      </c>
      <c r="I71" s="75" t="inlineStr">
        <is>
          <t>Station de référence</t>
        </is>
      </c>
      <c r="J71" s="75" t="inlineStr">
        <is>
          <t>Station de référence</t>
        </is>
      </c>
      <c r="K71" s="67" t="inlineStr">
        <is>
          <t>Aucune</t>
        </is>
      </c>
      <c r="L71" s="67" t="inlineStr">
        <is>
          <t>Hebdomadaire</t>
        </is>
      </c>
      <c r="M71" s="67" t="inlineStr">
        <is>
          <t>5 ans d'historique</t>
        </is>
      </c>
      <c r="N71" s="67" t="inlineStr">
        <is>
          <t>Appréciation saisonnière + profondeur</t>
        </is>
      </c>
      <c r="O71" s="67" t="inlineStr">
        <is>
          <t>LO 2.0</t>
        </is>
      </c>
      <c r="P71" s="75" t="inlineStr">
        <is>
          <t>National</t>
        </is>
      </c>
      <c r="Q71" s="67" t="inlineStr">
        <is>
          <t>Une profondeur brute n'a aucun sens : comparer au même mois des années précédentes</t>
        </is>
      </c>
      <c r="R71" s="57" t="inlineStr">
        <is>
          <t>oui — 09</t>
        </is>
      </c>
    </row>
    <row r="72">
      <c r="A72" s="65" t="inlineStr">
        <is>
          <t>EAU-30</t>
        </is>
      </c>
      <c r="B72" s="67" t="inlineStr">
        <is>
          <t>Environnement &amp; risques</t>
        </is>
      </c>
      <c r="C72" s="67" t="inlineStr">
        <is>
          <t>Débit des cours d'eau</t>
        </is>
      </c>
      <c r="D72" s="67" t="inlineStr">
        <is>
          <t>Services de l'État</t>
        </is>
      </c>
      <c r="E72" s="67" t="inlineStr">
        <is>
          <t>Hub'Eau — hydrométrie</t>
        </is>
      </c>
      <c r="F72" s="67" t="inlineStr">
        <is>
          <t>API REST sans clé</t>
        </is>
      </c>
      <c r="G72" s="67" t="inlineStr">
        <is>
          <t>Site hydrométrique</t>
        </is>
      </c>
      <c r="H72" s="75" t="inlineStr">
        <is>
          <t>Non pertinent</t>
        </is>
      </c>
      <c r="I72" s="75" t="inlineStr">
        <is>
          <t>Site de référence</t>
        </is>
      </c>
      <c r="J72" s="75" t="inlineStr">
        <is>
          <t>Site de référence</t>
        </is>
      </c>
      <c r="K72" s="67" t="inlineStr">
        <is>
          <t>Aucune</t>
        </is>
      </c>
      <c r="L72" s="67" t="inlineStr">
        <is>
          <t>Quotidienne</t>
        </is>
      </c>
      <c r="M72" s="67" t="inlineStr">
        <is>
          <t>5 ans d'historique</t>
        </is>
      </c>
      <c r="N72" s="67" t="inlineStr">
        <is>
          <t>Appréciation saisonnière + débit</t>
        </is>
      </c>
      <c r="O72" s="67" t="inlineStr">
        <is>
          <t>LO 2.0</t>
        </is>
      </c>
      <c r="P72" s="75" t="inlineStr">
        <is>
          <t>National</t>
        </is>
      </c>
      <c r="Q72" s="67" t="inlineStr">
        <is>
          <t>Interroger par code de SITE, non de station. Un grand cours d'eau régulé ne reflète pas la sécheresse locale</t>
        </is>
      </c>
      <c r="R72" s="57" t="inlineStr">
        <is>
          <t>oui — 12</t>
        </is>
      </c>
    </row>
    <row r="73">
      <c r="A73" s="65" t="inlineStr">
        <is>
          <t>ENV-01</t>
        </is>
      </c>
      <c r="B73" s="67" t="inlineStr">
        <is>
          <t>Environnement &amp; risques</t>
        </is>
      </c>
      <c r="C73" s="67" t="inlineStr">
        <is>
          <t>Risques naturels et technologiques</t>
        </is>
      </c>
      <c r="D73" s="67" t="inlineStr">
        <is>
          <t>BRGM / Géorisques</t>
        </is>
      </c>
      <c r="E73" s="67" t="inlineStr">
        <is>
          <t>Géorisques — GASPAR</t>
        </is>
      </c>
      <c r="F73" s="67" t="inlineStr">
        <is>
          <t>API REST sans clé</t>
        </is>
      </c>
      <c r="G73" s="67" t="inlineStr">
        <is>
          <t>Commune</t>
        </is>
      </c>
      <c r="H73" s="75" t="inlineStr">
        <is>
          <t>Natif</t>
        </is>
      </c>
      <c r="I73" s="75" t="inlineStr">
        <is>
          <t>Reconstitué</t>
        </is>
      </c>
      <c r="J73" s="75" t="inlineStr">
        <is>
          <t>Reconstitué</t>
        </is>
      </c>
      <c r="K73" s="67" t="inlineStr">
        <is>
          <t>Union des risques</t>
        </is>
      </c>
      <c r="L73" s="67" t="inlineStr">
        <is>
          <t>Trimestrielle</t>
        </is>
      </c>
      <c r="M73" s="67" t="inlineStr">
        <is>
          <t>À jour</t>
        </is>
      </c>
      <c r="N73" s="67" t="inlineStr">
        <is>
          <t>Bloc des risques recensés</t>
        </is>
      </c>
      <c r="O73" s="67" t="inlineStr">
        <is>
          <t>LO 2.0</t>
        </is>
      </c>
      <c r="P73" s="75" t="inlineStr">
        <is>
          <t>National</t>
        </is>
      </c>
      <c r="Q73" s="67" t="inlineStr">
        <is>
          <t>Les risques sont imbriqués dans une liste d'objets ; les déclinaisons ne sont pas des risques distincts</t>
        </is>
      </c>
      <c r="R73" s="57" t="inlineStr">
        <is>
          <t>oui — 08</t>
        </is>
      </c>
    </row>
    <row r="74">
      <c r="A74" s="65" t="inlineStr">
        <is>
          <t>ENV-02</t>
        </is>
      </c>
      <c r="B74" s="67" t="inlineStr">
        <is>
          <t>Environnement &amp; risques</t>
        </is>
      </c>
      <c r="C74" s="67" t="inlineStr">
        <is>
          <t>Arrêtés de catastrophe naturelle</t>
        </is>
      </c>
      <c r="D74" s="67" t="inlineStr">
        <is>
          <t>Ministère de l'Intérieur</t>
        </is>
      </c>
      <c r="E74" s="67" t="inlineStr">
        <is>
          <t>Géorisques — CatNat</t>
        </is>
      </c>
      <c r="F74" s="67" t="inlineStr">
        <is>
          <t>API REST sans clé</t>
        </is>
      </c>
      <c r="G74" s="67" t="inlineStr">
        <is>
          <t>Commune</t>
        </is>
      </c>
      <c r="H74" s="75" t="inlineStr">
        <is>
          <t>Natif</t>
        </is>
      </c>
      <c r="I74" s="75" t="inlineStr">
        <is>
          <t>Somme</t>
        </is>
      </c>
      <c r="J74" s="75" t="inlineStr">
        <is>
          <t>Somme</t>
        </is>
      </c>
      <c r="K74" s="67" t="inlineStr">
        <is>
          <t>Somme des arrêtés</t>
        </is>
      </c>
      <c r="L74" s="67" t="inlineStr">
        <is>
          <t>Trimestrielle</t>
        </is>
      </c>
      <c r="M74" s="67" t="inlineStr">
        <is>
          <t>Depuis 1982</t>
        </is>
      </c>
      <c r="N74" s="67" t="inlineStr">
        <is>
          <t>Liste chronologique + lien Légifrance</t>
        </is>
      </c>
      <c r="O74" s="67" t="inlineStr">
        <is>
          <t>LO 2.0</t>
        </is>
      </c>
      <c r="P74" s="75" t="inlineStr">
        <is>
          <t>National</t>
        </is>
      </c>
      <c r="Q74" s="67" t="inlineStr">
        <is>
          <t>Les références sont des numéros NOR, inexistants avant 1987</t>
        </is>
      </c>
      <c r="R74" s="57" t="inlineStr">
        <is>
          <t>oui — 08</t>
        </is>
      </c>
    </row>
    <row r="75">
      <c r="A75" s="65" t="inlineStr">
        <is>
          <t>ENV-03</t>
        </is>
      </c>
      <c r="B75" s="67" t="inlineStr">
        <is>
          <t>Environnement &amp; risques</t>
        </is>
      </c>
      <c r="C75" s="67" t="inlineStr">
        <is>
          <t>Radon, sismicité, argiles</t>
        </is>
      </c>
      <c r="D75" s="67" t="inlineStr">
        <is>
          <t>BRGM</t>
        </is>
      </c>
      <c r="E75" s="67" t="inlineStr">
        <is>
          <t>Géorisques</t>
        </is>
      </c>
      <c r="F75" s="67" t="inlineStr">
        <is>
          <t>API REST sans clé</t>
        </is>
      </c>
      <c r="G75" s="67" t="inlineStr">
        <is>
          <t>Commune</t>
        </is>
      </c>
      <c r="H75" s="75" t="inlineStr">
        <is>
          <t>Natif</t>
        </is>
      </c>
      <c r="I75" s="75" t="inlineStr">
        <is>
          <t>Non pertinent</t>
        </is>
      </c>
      <c r="J75" s="75" t="inlineStr">
        <is>
          <t>Non pertinent</t>
        </is>
      </c>
      <c r="K75" s="67" t="inlineStr">
        <is>
          <t>Aucune</t>
        </is>
      </c>
      <c r="L75" s="67" t="inlineStr">
        <is>
          <t>Trimestrielle</t>
        </is>
      </c>
      <c r="M75" s="67" t="inlineStr">
        <is>
          <t>À jour</t>
        </is>
      </c>
      <c r="N75" s="67" t="inlineStr">
        <is>
          <t>Tuiles avec échelle de lecture</t>
        </is>
      </c>
      <c r="O75" s="67" t="inlineStr">
        <is>
          <t>LO 2.0</t>
        </is>
      </c>
      <c r="P75" s="75" t="inlineStr">
        <is>
          <t>National</t>
        </is>
      </c>
      <c r="Q75" s="67" t="inlineStr">
        <is>
          <t>Les argiles s'interrogent par coordonnées : valeur représentative du centre-bourg</t>
        </is>
      </c>
      <c r="R75" s="57" t="inlineStr">
        <is>
          <t>oui — 08</t>
        </is>
      </c>
    </row>
    <row r="76">
      <c r="A76" s="65" t="inlineStr">
        <is>
          <t>MET-01</t>
        </is>
      </c>
      <c r="B76" s="67" t="inlineStr">
        <is>
          <t>Environnement &amp; risques</t>
        </is>
      </c>
      <c r="C76" s="67" t="inlineStr">
        <is>
          <t>Vigilance météorologique</t>
        </is>
      </c>
      <c r="D76" s="67" t="inlineStr">
        <is>
          <t>Météo-France</t>
        </is>
      </c>
      <c r="E76" s="67" t="inlineStr">
        <is>
          <t>API Bulletin Vigilance</t>
        </is>
      </c>
      <c r="F76" s="67" t="inlineStr">
        <is>
          <t>API REST — clé gratuite requise</t>
        </is>
      </c>
      <c r="G76" s="67" t="inlineStr">
        <is>
          <t>Département</t>
        </is>
      </c>
      <c r="H76" s="75" t="inlineStr">
        <is>
          <t>Non pertinent</t>
        </is>
      </c>
      <c r="I76" s="75" t="inlineStr">
        <is>
          <t>Reconstitué</t>
        </is>
      </c>
      <c r="J76" s="75" t="inlineStr">
        <is>
          <t>Reconstitué</t>
        </is>
      </c>
      <c r="K76" s="67" t="inlineStr">
        <is>
          <t>Aucune</t>
        </is>
      </c>
      <c r="L76" s="67" t="inlineStr">
        <is>
          <t>Deux fois par jour</t>
        </is>
      </c>
      <c r="M76" s="67" t="inlineStr">
        <is>
          <t>Temps réel</t>
        </is>
      </c>
      <c r="N76" s="67" t="inlineStr">
        <is>
          <t>Bandeau d'alerte</t>
        </is>
      </c>
      <c r="O76" s="67" t="inlineStr">
        <is>
          <t>LO 2.0</t>
        </is>
      </c>
      <c r="P76" s="75" t="inlineStr">
        <is>
          <t>National</t>
        </is>
      </c>
      <c r="Q76" s="67" t="inlineStr">
        <is>
          <t>Un site statique n'est pas un canal d'alerte : afficher l'heure d'émission et périmer au-delà de 12 h</t>
        </is>
      </c>
      <c r="R76" s="57" t="inlineStr">
        <is>
          <t>livré — clé à demander</t>
        </is>
      </c>
    </row>
    <row r="77">
      <c r="A77" s="65" t="inlineStr">
        <is>
          <t>AGR-01</t>
        </is>
      </c>
      <c r="B77" s="67" t="inlineStr">
        <is>
          <t>Environnement &amp; risques</t>
        </is>
      </c>
      <c r="C77" s="67" t="inlineStr">
        <is>
          <t>Agriculture biologique</t>
        </is>
      </c>
      <c r="D77" s="67" t="inlineStr">
        <is>
          <t>Agence Bio</t>
        </is>
      </c>
      <c r="E77" s="67" t="inlineStr">
        <is>
          <t>Surfaces, cheptels et opérateurs bio à la commune</t>
        </is>
      </c>
      <c r="F77" s="67" t="inlineStr">
        <is>
          <t>Fichier CSV via data.gouv.fr</t>
        </is>
      </c>
      <c r="G77" s="67" t="inlineStr">
        <is>
          <t>Commune du siège d'exploitation</t>
        </is>
      </c>
      <c r="H77" s="75" t="inlineStr">
        <is>
          <t>Natif</t>
        </is>
      </c>
      <c r="I77" s="75" t="inlineStr">
        <is>
          <t>Somme</t>
        </is>
      </c>
      <c r="J77" s="75" t="inlineStr">
        <is>
          <t>Somme</t>
        </is>
      </c>
      <c r="K77" s="67" t="inlineStr">
        <is>
          <t>Somme des surfaces</t>
        </is>
      </c>
      <c r="L77" s="67" t="inlineStr">
        <is>
          <t>Annuelle</t>
        </is>
      </c>
      <c r="M77" s="67" t="inlineStr">
        <is>
          <t>N-1</t>
        </is>
      </c>
      <c r="N77" s="67" t="inlineStr">
        <is>
          <t>Surfaces + répartition par culture</t>
        </is>
      </c>
      <c r="O77" s="67" t="inlineStr">
        <is>
          <t>LO 2.0</t>
        </is>
      </c>
      <c r="P77" s="75" t="inlineStr">
        <is>
          <t>National</t>
        </is>
      </c>
      <c r="Q77" s="67" t="inlineStr">
        <is>
          <t>Les parcelles sont rattachées au SIÈGE de l'exploitation, non à leur emplacement réel</t>
        </is>
      </c>
      <c r="R77" s="57" t="inlineStr">
        <is>
          <t>oui — 16</t>
        </is>
      </c>
    </row>
    <row r="78">
      <c r="A78" s="65" t="inlineStr">
        <is>
          <t>EDU-01</t>
        </is>
      </c>
      <c r="B78" s="67" t="inlineStr">
        <is>
          <t>Éducation</t>
        </is>
      </c>
      <c r="C78" s="67" t="inlineStr">
        <is>
          <t>Établissements scolaires</t>
        </is>
      </c>
      <c r="D78" s="67" t="inlineStr">
        <is>
          <t>Ministère de l'Éducation nationale</t>
        </is>
      </c>
      <c r="E78" s="67" t="inlineStr">
        <is>
          <t>Annuaire de l'éducation</t>
        </is>
      </c>
      <c r="F78" s="67" t="inlineStr">
        <is>
          <t>API OpenDataSoft sans clé</t>
        </is>
      </c>
      <c r="G78" s="67" t="inlineStr">
        <is>
          <t>Établissement</t>
        </is>
      </c>
      <c r="H78" s="75" t="inlineStr">
        <is>
          <t>Natif</t>
        </is>
      </c>
      <c r="I78" s="75" t="inlineStr">
        <is>
          <t>Somme</t>
        </is>
      </c>
      <c r="J78" s="75" t="inlineStr">
        <is>
          <t>Somme</t>
        </is>
      </c>
      <c r="K78" s="67" t="inlineStr">
        <is>
          <t>Somme des établissements</t>
        </is>
      </c>
      <c r="L78" s="67" t="inlineStr">
        <is>
          <t>Annuelle</t>
        </is>
      </c>
      <c r="M78" s="67" t="inlineStr">
        <is>
          <t>À jour</t>
        </is>
      </c>
      <c r="N78" s="67" t="inlineStr">
        <is>
          <t>Liste + points sur la carte</t>
        </is>
      </c>
      <c r="O78" s="67" t="inlineStr">
        <is>
          <t>LO 2.0</t>
        </is>
      </c>
      <c r="P78" s="75" t="inlineStr">
        <is>
          <t>National</t>
        </is>
      </c>
      <c r="Q78" s="67" t="inlineStr">
        <is>
          <t>Les effectifs d'élèves ne sont PAS publiés dans ce jeu. Écarter les établissements fermés</t>
        </is>
      </c>
      <c r="R78" s="57" t="inlineStr">
        <is>
          <t>oui — 10</t>
        </is>
      </c>
    </row>
    <row r="79">
      <c r="A79" s="65" t="inlineStr">
        <is>
          <t>EQU-01</t>
        </is>
      </c>
      <c r="B79" s="67" t="inlineStr">
        <is>
          <t>Équipements &amp; services</t>
        </is>
      </c>
      <c r="C79" s="67" t="inlineStr">
        <is>
          <t>Commerces, santé, sport, services</t>
        </is>
      </c>
      <c r="D79" s="67" t="inlineStr">
        <is>
          <t>INSEE</t>
        </is>
      </c>
      <c r="E79" s="67" t="inlineStr">
        <is>
          <t>Base permanente des équipements, via le dossier complet</t>
        </is>
      </c>
      <c r="F79" s="67" t="inlineStr">
        <is>
          <t>Fichier CSV</t>
        </is>
      </c>
      <c r="G79" s="67" t="inlineStr">
        <is>
          <t>Commune</t>
        </is>
      </c>
      <c r="H79" s="75" t="inlineStr">
        <is>
          <t>Natif</t>
        </is>
      </c>
      <c r="I79" s="75" t="inlineStr">
        <is>
          <t>Somme</t>
        </is>
      </c>
      <c r="J79" s="75" t="inlineStr">
        <is>
          <t>Somme</t>
        </is>
      </c>
      <c r="K79" s="67" t="inlineStr">
        <is>
          <t>Somme par domaine</t>
        </is>
      </c>
      <c r="L79" s="67" t="inlineStr">
        <is>
          <t>Annuelle</t>
        </is>
      </c>
      <c r="M79" s="67" t="inlineStr">
        <is>
          <t>BPE 2024</t>
        </is>
      </c>
      <c r="N79" s="67" t="inlineStr">
        <is>
          <t>Tuiles par domaine + détail par type</t>
        </is>
      </c>
      <c r="O79" s="67" t="inlineStr">
        <is>
          <t>LO 2.0</t>
        </is>
      </c>
      <c r="P79" s="75" t="inlineStr">
        <is>
          <t>National</t>
        </is>
      </c>
      <c r="Q79" s="67" t="inlineStr">
        <is>
          <t>Le dossier complet ne retient qu'une SÉLECTION de types : le décompte est un ordre de grandeur</t>
        </is>
      </c>
      <c r="R79" s="57" t="inlineStr">
        <is>
          <t>oui — 11</t>
        </is>
      </c>
    </row>
    <row r="80">
      <c r="A80" s="65" t="inlineStr">
        <is>
          <t>TRA-20</t>
        </is>
      </c>
      <c r="B80" s="67" t="inlineStr">
        <is>
          <t>Transports &amp; mobilité</t>
        </is>
      </c>
      <c r="C80" s="67" t="inlineStr">
        <is>
          <t>Équipements hivernaux obligatoires</t>
        </is>
      </c>
      <c r="D80" s="67" t="inlineStr">
        <is>
          <t>Préfecture de l'Isère</t>
        </is>
      </c>
      <c r="E80" s="67" t="inlineStr">
        <is>
          <t>Arrêté préfectoral (PDF)</t>
        </is>
      </c>
      <c r="F80" s="67" t="inlineStr">
        <is>
          <t>Saisie manuelle</t>
        </is>
      </c>
      <c r="G80" s="67" t="inlineStr">
        <is>
          <t>Commune ou portion de commune</t>
        </is>
      </c>
      <c r="H80" s="75" t="inlineStr">
        <is>
          <t>Natif</t>
        </is>
      </c>
      <c r="I80" s="75" t="inlineStr">
        <is>
          <t>Non pertinent</t>
        </is>
      </c>
      <c r="J80" s="75" t="inlineStr">
        <is>
          <t>Non pertinent</t>
        </is>
      </c>
      <c r="K80" s="67" t="inlineStr">
        <is>
          <t>Aucune</t>
        </is>
      </c>
      <c r="L80" s="67" t="inlineStr">
        <is>
          <t>Annuelle</t>
        </is>
      </c>
      <c r="M80" s="67" t="inlineStr">
        <is>
          <t>Arrêté du 12/01/2026</t>
        </is>
      </c>
      <c r="N80" s="67" t="inlineStr">
        <is>
          <t>Tuile saisonnière + bloc</t>
        </is>
      </c>
      <c r="O80" s="67" t="inlineStr">
        <is>
          <t>LO 2.0</t>
        </is>
      </c>
      <c r="P80" s="75" t="inlineStr">
        <is>
          <t>Départemental</t>
        </is>
      </c>
      <c r="Q80" s="67" t="inlineStr">
        <is>
          <t>Aucune source lisible par une machine. Péremption contrôlée : au-delà, l'information est retirée</t>
        </is>
      </c>
      <c r="R80" s="57" t="inlineStr">
        <is>
          <t>oui — 13</t>
        </is>
      </c>
    </row>
  </sheetData>
  <autoFilter ref="A1:Q67"/>
  <dataValidations count="1">
    <dataValidation sqref="H2:J466" showDropDown="0" showInputMessage="0" showErrorMessage="0" allowBlank="1" type="list" errorStyle="stop" operator="between">
      <formula1>"Natif,Agrégeable,Recalculé,Reconstitué,Partiel,Non,Sans objet"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7" min="1" max="1"/>
    <col width="36" customWidth="1" style="57" min="2" max="2"/>
    <col width="26" customWidth="1" style="57" min="3" max="3"/>
    <col width="76" customWidth="1" style="57" min="4" max="4"/>
  </cols>
  <sheetData>
    <row r="1" ht="15" customHeight="1" s="58">
      <c r="A1" s="80" t="inlineStr">
        <is>
          <t>Une même donnée peut apparaître dans plusieurs catégories du site. Elle n'est chargée qu'une fois ; seul son rattachement est multiple.</t>
        </is>
      </c>
    </row>
    <row r="2" ht="30" customHeight="1" s="58">
      <c r="A2" s="64" t="inlineStr">
        <is>
          <t>ID donnée</t>
        </is>
      </c>
      <c r="B2" s="64" t="inlineStr">
        <is>
          <t>Libellé</t>
        </is>
      </c>
      <c r="C2" s="64" t="inlineStr">
        <is>
          <t>Catégorie principale</t>
        </is>
      </c>
      <c r="D2" s="64" t="inlineStr">
        <is>
          <t>Catégories secondaires</t>
        </is>
      </c>
    </row>
    <row r="3" ht="31.5" customHeight="1" s="58">
      <c r="A3" s="65" t="inlineStr">
        <is>
          <t>GEO-05</t>
        </is>
      </c>
      <c r="B3" s="67" t="inlineStr">
        <is>
          <t>Parcelles cadastrales</t>
        </is>
      </c>
      <c r="C3" s="74" t="inlineStr">
        <is>
          <t>Géographie &amp; cartographie</t>
        </is>
      </c>
      <c r="D3" s="67" t="inlineStr">
        <is>
          <t>Urbanisme &amp; construction</t>
        </is>
      </c>
    </row>
    <row r="4" ht="31.5" customHeight="1" s="58">
      <c r="A4" s="65" t="inlineStr">
        <is>
          <t>GEO-09</t>
        </is>
      </c>
      <c r="B4" s="67" t="inlineStr">
        <is>
          <t>Équipements publics géolocalisés</t>
        </is>
      </c>
      <c r="C4" s="74" t="inlineStr">
        <is>
          <t>Géographie &amp; cartographie</t>
        </is>
      </c>
      <c r="D4" s="67" t="inlineStr">
        <is>
          <t>Santé ; Éducation ; Culture &amp; patrimoine ; Administrations &amp; services publics ; Tourisme</t>
        </is>
      </c>
    </row>
    <row r="5" ht="31.5" customHeight="1" s="58">
      <c r="A5" s="65" t="inlineStr">
        <is>
          <t>GEO-10</t>
        </is>
      </c>
      <c r="B5" s="67" t="inlineStr">
        <is>
          <t>Données géographiques environnementales</t>
        </is>
      </c>
      <c r="C5" s="74" t="inlineStr">
        <is>
          <t>Géographie &amp; cartographie</t>
        </is>
      </c>
      <c r="D5" s="67" t="inlineStr">
        <is>
          <t>Environnement &amp; climat ; Eau</t>
        </is>
      </c>
    </row>
    <row r="6" ht="31.5" customHeight="1" s="58">
      <c r="A6" s="65" t="inlineStr">
        <is>
          <t>GEO-11</t>
        </is>
      </c>
      <c r="B6" s="67" t="inlineStr">
        <is>
          <t>Référentiels géographiques socles</t>
        </is>
      </c>
      <c r="C6" s="74" t="inlineStr">
        <is>
          <t>Géographie &amp; cartographie</t>
        </is>
      </c>
      <c r="D6" s="67" t="inlineStr">
        <is>
          <t>Transports &amp; mobilité ; Urbanisme &amp; construction ; Eau</t>
        </is>
      </c>
    </row>
    <row r="7" ht="31.5" customHeight="1" s="58">
      <c r="A7" s="65" t="inlineStr">
        <is>
          <t>POP-04</t>
        </is>
      </c>
      <c r="B7" s="67" t="inlineStr">
        <is>
          <t>Naissances</t>
        </is>
      </c>
      <c r="C7" s="66" t="inlineStr">
        <is>
          <t>Population &amp; démographie</t>
        </is>
      </c>
      <c r="D7" s="67" t="inlineStr">
        <is>
          <t>Santé</t>
        </is>
      </c>
    </row>
    <row r="8" ht="31.5" customHeight="1" s="58">
      <c r="A8" s="65" t="inlineStr">
        <is>
          <t>POP-05</t>
        </is>
      </c>
      <c r="B8" s="67" t="inlineStr">
        <is>
          <t>Décès</t>
        </is>
      </c>
      <c r="C8" s="66" t="inlineStr">
        <is>
          <t>Population &amp; démographie</t>
        </is>
      </c>
      <c r="D8" s="67" t="inlineStr">
        <is>
          <t>Santé</t>
        </is>
      </c>
    </row>
    <row r="9" ht="31.5" customHeight="1" s="58">
      <c r="A9" s="65" t="inlineStr">
        <is>
          <t>POP-13</t>
        </is>
      </c>
      <c r="B9" s="67" t="inlineStr">
        <is>
          <t>Revenus</t>
        </is>
      </c>
      <c r="C9" s="66" t="inlineStr">
        <is>
          <t>Population &amp; démographie</t>
        </is>
      </c>
      <c r="D9" s="67" t="inlineStr">
        <is>
          <t>Emploi &amp; travail ; Finances publiques &amp; fiscalité</t>
        </is>
      </c>
    </row>
    <row r="10" ht="31.5" customHeight="1" s="58">
      <c r="A10" s="65" t="inlineStr">
        <is>
          <t>POP-14</t>
        </is>
      </c>
      <c r="B10" s="67" t="inlineStr">
        <is>
          <t>Taux de pauvreté</t>
        </is>
      </c>
      <c r="C10" s="66" t="inlineStr">
        <is>
          <t>Population &amp; démographie</t>
        </is>
      </c>
      <c r="D10" s="67" t="inlineStr">
        <is>
          <t>Emploi &amp; travail</t>
        </is>
      </c>
    </row>
    <row r="11" ht="31.5" customHeight="1" s="58">
      <c r="A11" s="65" t="inlineStr">
        <is>
          <t>TRA-01</t>
        </is>
      </c>
      <c r="B11" s="67" t="inlineStr">
        <is>
          <t>Réseau routier</t>
        </is>
      </c>
      <c r="C11" s="77" t="inlineStr">
        <is>
          <t>Transports &amp; mobilité</t>
        </is>
      </c>
      <c r="D11" s="67" t="inlineStr">
        <is>
          <t>Géographie &amp; cartographie</t>
        </is>
      </c>
    </row>
    <row r="12" ht="31.5" customHeight="1" s="58">
      <c r="A12" s="65" t="inlineStr">
        <is>
          <t>TRA-11</t>
        </is>
      </c>
      <c r="B12" s="67" t="inlineStr">
        <is>
          <t>Bornes de recharge</t>
        </is>
      </c>
      <c r="C12" s="77" t="inlineStr">
        <is>
          <t>Transports &amp; mobilité</t>
        </is>
      </c>
      <c r="D12" s="67" t="inlineStr">
        <is>
          <t>Environnement &amp; climat</t>
        </is>
      </c>
    </row>
    <row r="13" ht="31.5" customHeight="1" s="58">
      <c r="A13" s="65" t="inlineStr">
        <is>
          <t>TRA-12</t>
        </is>
      </c>
      <c r="B13" s="67" t="inlineStr">
        <is>
          <t>Aménagements cyclables</t>
        </is>
      </c>
      <c r="C13" s="77" t="inlineStr">
        <is>
          <t>Transports &amp; mobilité</t>
        </is>
      </c>
      <c r="D13" s="67" t="inlineStr">
        <is>
          <t>Tourisme ; Environnement &amp; climat</t>
        </is>
      </c>
    </row>
    <row r="14" ht="31.5" customHeight="1" s="58">
      <c r="A14" s="65" t="inlineStr">
        <is>
          <t>TRA-14</t>
        </is>
      </c>
      <c r="B14" s="67" t="inlineStr">
        <is>
          <t>Déplacements domicile-travail</t>
        </is>
      </c>
      <c r="C14" s="77" t="inlineStr">
        <is>
          <t>Transports &amp; mobilité</t>
        </is>
      </c>
      <c r="D14" s="67" t="inlineStr">
        <is>
          <t>Emploi &amp; travail ; Population &amp; démographie</t>
        </is>
      </c>
    </row>
    <row r="15" ht="31.5" customHeight="1" s="58">
      <c r="A15" s="65" t="inlineStr">
        <is>
          <t>URB-04</t>
        </is>
      </c>
      <c r="B15" s="67" t="inlineStr">
        <is>
          <t>Cadastre</t>
        </is>
      </c>
      <c r="C15" s="78" t="inlineStr">
        <is>
          <t>Urbanisme &amp; construction</t>
        </is>
      </c>
      <c r="D15" s="67" t="inlineStr">
        <is>
          <t>Géographie &amp; cartographie</t>
        </is>
      </c>
    </row>
    <row r="16" ht="31.5" customHeight="1" s="58">
      <c r="A16" s="65" t="inlineStr">
        <is>
          <t>URB-08</t>
        </is>
      </c>
      <c r="B16" s="67" t="inlineStr">
        <is>
          <t>Parc de logements</t>
        </is>
      </c>
      <c r="C16" s="78" t="inlineStr">
        <is>
          <t>Urbanisme &amp; construction</t>
        </is>
      </c>
      <c r="D16" s="67" t="inlineStr">
        <is>
          <t>Population &amp; démographie</t>
        </is>
      </c>
    </row>
    <row r="17" ht="31.5" customHeight="1" s="58">
      <c r="A17" s="65" t="inlineStr">
        <is>
          <t>URB-10</t>
        </is>
      </c>
      <c r="B17" s="67" t="inlineStr">
        <is>
          <t>Mutations immobilières (DVF)</t>
        </is>
      </c>
      <c r="C17" s="78" t="inlineStr">
        <is>
          <t>Urbanisme &amp; construction</t>
        </is>
      </c>
      <c r="D17" s="67" t="inlineStr">
        <is>
          <t>Population &amp; démographie ; Finances publiques &amp; fiscalité</t>
        </is>
      </c>
    </row>
    <row r="18" ht="31.5" customHeight="1" s="58">
      <c r="A18" s="65" t="inlineStr">
        <is>
          <t>POL-08</t>
        </is>
      </c>
      <c r="B18" s="67" t="inlineStr">
        <is>
          <t>Bureaux de vote</t>
        </is>
      </c>
      <c r="C18" s="79" t="inlineStr">
        <is>
          <t>Politique &amp; démocratie</t>
        </is>
      </c>
      <c r="D18" s="67" t="inlineStr">
        <is>
          <t>Géographie &amp; cartographie ; Administrations &amp; services publics</t>
        </is>
      </c>
    </row>
    <row r="19" ht="31.5" customHeight="1" s="58">
      <c r="A19" s="65" t="inlineStr">
        <is>
          <t>POL-09</t>
        </is>
      </c>
      <c r="B19" s="67" t="inlineStr">
        <is>
          <t>Élus locaux</t>
        </is>
      </c>
      <c r="C19" s="79" t="inlineStr">
        <is>
          <t>Politique &amp; démocratie</t>
        </is>
      </c>
      <c r="D19" s="67" t="inlineStr">
        <is>
          <t>Administrations &amp; services publics</t>
        </is>
      </c>
    </row>
    <row r="20" ht="31.5" customHeight="1" s="58">
      <c r="A20" s="65" t="inlineStr">
        <is>
          <t>URB-11</t>
        </is>
      </c>
      <c r="B20" s="67" t="inlineStr">
        <is>
          <t>Artificialisation des sols</t>
        </is>
      </c>
      <c r="C20" s="78" t="inlineStr">
        <is>
          <t>Urbanisme &amp; construction</t>
        </is>
      </c>
      <c r="D20" s="67" t="inlineStr">
        <is>
          <t>Environnement &amp; climat</t>
        </is>
      </c>
    </row>
    <row r="21" ht="31.5" customHeight="1" s="58">
      <c r="A21" s="65" t="inlineStr">
        <is>
          <t>URB-12</t>
        </is>
      </c>
      <c r="B21" s="67" t="inlineStr">
        <is>
          <t>Risques naturels et technologiques</t>
        </is>
      </c>
      <c r="C21" s="78" t="inlineStr">
        <is>
          <t>Urbanisme &amp; construction</t>
        </is>
      </c>
      <c r="D21" s="67" t="inlineStr">
        <is>
          <t>Environnement &amp; climat ; Eau ; Industrie &amp; entreprises</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57" min="1" max="1"/>
    <col width="32" customWidth="1" style="57" min="2" max="2"/>
    <col width="16" customWidth="1" style="57" min="3" max="3"/>
    <col width="22" customWidth="1" style="57" min="4" max="4"/>
    <col width="78" customWidth="1" style="57" min="5" max="5"/>
  </cols>
  <sheetData>
    <row r="1" ht="17.35" customHeight="1" s="58">
      <c r="A1" s="81" t="inlineStr">
        <is>
          <t>Les 16 catégories cibles</t>
        </is>
      </c>
    </row>
    <row r="2"/>
    <row r="3" ht="30" customHeight="1" s="58">
      <c r="A3" s="64" t="inlineStr">
        <is>
          <t>#</t>
        </is>
      </c>
      <c r="B3" s="64" t="inlineStr">
        <is>
          <t>Catégorie</t>
        </is>
      </c>
      <c r="C3" s="64" t="inlineStr">
        <is>
          <t>État</t>
        </is>
      </c>
      <c r="D3" s="64" t="inlineStr">
        <is>
          <t>Nb de données envisagées</t>
        </is>
      </c>
      <c r="E3" s="64" t="inlineStr">
        <is>
          <t>Dépendances / remarque</t>
        </is>
      </c>
    </row>
    <row r="4" ht="31.5" customHeight="1" s="58">
      <c r="A4" s="75" t="n">
        <v>1</v>
      </c>
      <c r="B4" s="82" t="inlineStr">
        <is>
          <t>Population &amp; démographie</t>
        </is>
      </c>
      <c r="C4" s="68" t="inlineStr">
        <is>
          <t>Implantée</t>
        </is>
      </c>
      <c r="D4" s="75" t="n">
        <v>16</v>
      </c>
      <c r="E4" s="83" t="inlineStr">
        <is>
          <t>Socle statistique. Conditionne tous les ratios des autres catégories (dénominateurs).</t>
        </is>
      </c>
    </row>
    <row r="5" ht="31.5" customHeight="1" s="58">
      <c r="A5" s="75" t="n">
        <v>2</v>
      </c>
      <c r="B5" s="84" t="inlineStr">
        <is>
          <t>Géographie &amp; cartographie</t>
        </is>
      </c>
      <c r="C5" s="68" t="inlineStr">
        <is>
          <t>Implantée</t>
        </is>
      </c>
      <c r="D5" s="75" t="n">
        <v>12</v>
      </c>
      <c r="E5" s="83" t="inlineStr">
        <is>
          <t>À traiter en premier dans le développement : référentiels et géométries dont tout le reste dépend.</t>
        </is>
      </c>
    </row>
    <row r="6" ht="31.5" customHeight="1" s="58">
      <c r="A6" s="75" t="n">
        <v>3</v>
      </c>
      <c r="B6" s="85" t="inlineStr">
        <is>
          <t>Transports &amp; mobilité</t>
        </is>
      </c>
      <c r="C6" s="68" t="inlineStr">
        <is>
          <t>Partielle — équipements hivernaux</t>
        </is>
      </c>
      <c r="D6" s="75" t="n">
        <v>15</v>
      </c>
      <c r="E6" s="83" t="inlineStr">
        <is>
          <t>Forte dépendance au Point d'Accès National, un connecteur par autorité organisatrice.</t>
        </is>
      </c>
    </row>
    <row r="7" ht="31.5" customHeight="1" s="58">
      <c r="A7" s="75" t="n">
        <v>4</v>
      </c>
      <c r="B7" s="86" t="inlineStr">
        <is>
          <t>Urbanisme &amp; construction</t>
        </is>
      </c>
      <c r="C7" s="68" t="inlineStr">
        <is>
          <t>Implantée (logement)</t>
        </is>
      </c>
      <c r="D7" s="75" t="n">
        <v>12</v>
      </c>
      <c r="E7" s="83" t="inlineStr">
        <is>
          <t>Couverture GPU à vérifier sur la zone avant tout engagement.</t>
        </is>
      </c>
    </row>
    <row r="8" ht="31.5" customHeight="1" s="58">
      <c r="A8" s="75" t="n">
        <v>5</v>
      </c>
      <c r="B8" s="83" t="inlineStr">
        <is>
          <t>Environnement &amp; climat</t>
        </is>
      </c>
      <c r="C8" s="87" t="inlineStr">
        <is>
          <t>À cataloguer</t>
        </is>
      </c>
      <c r="D8" s="75" t="n"/>
      <c r="E8" s="83" t="inlineStr">
        <is>
          <t>Sources multiples (LCSQA/AASQA, Géorisques, ADEME). Recoupe fortement Eau et Météo.</t>
        </is>
      </c>
    </row>
    <row r="9" ht="31.5" customHeight="1" s="58">
      <c r="A9" s="75" t="n">
        <v>6</v>
      </c>
      <c r="B9" s="83" t="inlineStr">
        <is>
          <t>Santé</t>
        </is>
      </c>
      <c r="C9" s="87" t="inlineStr">
        <is>
          <t>À cataloguer</t>
        </is>
      </c>
      <c r="D9" s="75" t="n"/>
      <c r="E9" s="83" t="inlineStr">
        <is>
          <t>FINESS pour les établissements, RPPS/annuaire santé pour les professionnels. Peu de maille communale au-delà.</t>
        </is>
      </c>
    </row>
    <row r="10" ht="31.5" customHeight="1" s="58">
      <c r="A10" s="75" t="n">
        <v>7</v>
      </c>
      <c r="B10" s="83" t="inlineStr">
        <is>
          <t>Éducation</t>
        </is>
      </c>
      <c r="C10" s="87" t="inlineStr">
        <is>
          <t>À cataloguer</t>
        </is>
      </c>
      <c r="D10" s="75" t="n"/>
      <c r="E10" s="83" t="inlineStr">
        <is>
          <t>Annuaire de l'éducation et résultats aux examens : bonne couverture communale.</t>
        </is>
      </c>
    </row>
    <row r="11" ht="31.5" customHeight="1" s="58">
      <c r="A11" s="75" t="n">
        <v>8</v>
      </c>
      <c r="B11" s="83" t="inlineStr">
        <is>
          <t>Emploi &amp; travail</t>
        </is>
      </c>
      <c r="C11" s="87" t="inlineStr">
        <is>
          <t>À cataloguer</t>
        </is>
      </c>
      <c r="D11" s="75" t="n"/>
      <c r="E11" s="83" t="inlineStr">
        <is>
          <t>Point de difficulté : le chômage est publié en zone d'emploi, pas en commune.</t>
        </is>
      </c>
    </row>
    <row r="12" ht="31.5" customHeight="1" s="58">
      <c r="A12" s="75" t="n">
        <v>9</v>
      </c>
      <c r="B12" s="88" t="inlineStr">
        <is>
          <t>Politique &amp; démocratie</t>
        </is>
      </c>
      <c r="C12" s="68" t="inlineStr">
        <is>
          <t>Partielle — élus faits, résultats à venir</t>
        </is>
      </c>
      <c r="D12" s="75" t="n">
        <v>11</v>
      </c>
      <c r="E12" s="83" t="inlineStr">
        <is>
          <t>Seule catégorie nativement cantonale. Structure de données distincte des autres : voir l'onglet Résultats électoraux.</t>
        </is>
      </c>
    </row>
    <row r="13" ht="31.5" customHeight="1" s="58">
      <c r="A13" s="75" t="n">
        <v>10</v>
      </c>
      <c r="B13" s="83" t="inlineStr">
        <is>
          <t>Finances publiques &amp; fiscalité</t>
        </is>
      </c>
      <c r="C13" s="87" t="inlineStr">
        <is>
          <t>À cataloguer</t>
        </is>
      </c>
      <c r="D13" s="75" t="n"/>
      <c r="E13" s="83" t="inlineStr">
        <is>
          <t>Comptes des collectivités : maille commune et EPCI natives, agrégation à éviter (budgets non additifs).</t>
        </is>
      </c>
    </row>
    <row r="14" ht="31.5" customHeight="1" s="58">
      <c r="A14" s="75" t="n">
        <v>11</v>
      </c>
      <c r="B14" s="83" t="inlineStr">
        <is>
          <t>Industrie &amp; entreprises</t>
        </is>
      </c>
      <c r="C14" s="87" t="inlineStr">
        <is>
          <t>À cataloguer</t>
        </is>
      </c>
      <c r="D14" s="75" t="n"/>
      <c r="E14" s="83" t="inlineStr">
        <is>
          <t>Sirene, ICPE, registre des émissions polluantes.</t>
        </is>
      </c>
    </row>
    <row r="15" ht="31.5" customHeight="1" s="58">
      <c r="A15" s="75" t="n">
        <v>12</v>
      </c>
      <c r="B15" s="83" t="inlineStr">
        <is>
          <t>Administrations &amp; services publics</t>
        </is>
      </c>
      <c r="C15" s="87" t="inlineStr">
        <is>
          <t>À cataloguer</t>
        </is>
      </c>
      <c r="D15" s="75" t="n"/>
      <c r="E15" s="83" t="inlineStr">
        <is>
          <t>Largement couvert par la BPE déjà cataloguée (GEO-09) + annuaire de l'administration.</t>
        </is>
      </c>
    </row>
    <row r="16" ht="31.5" customHeight="1" s="58">
      <c r="A16" s="75" t="n">
        <v>13</v>
      </c>
      <c r="B16" s="83" t="inlineStr">
        <is>
          <t>Culture &amp; patrimoine</t>
        </is>
      </c>
      <c r="C16" s="87" t="inlineStr">
        <is>
          <t>À cataloguer</t>
        </is>
      </c>
      <c r="D16" s="75" t="n"/>
      <c r="E16" s="83" t="inlineStr">
        <is>
          <t>Monuments historiques, musées de France, bibliothèques.</t>
        </is>
      </c>
    </row>
    <row r="17" ht="31.5" customHeight="1" s="58">
      <c r="A17" s="75" t="n">
        <v>14</v>
      </c>
      <c r="B17" s="83" t="inlineStr">
        <is>
          <t>Tourisme</t>
        </is>
      </c>
      <c r="C17" s="87" t="inlineStr">
        <is>
          <t>À cataloguer</t>
        </is>
      </c>
      <c r="D17" s="75" t="n"/>
      <c r="E17" s="83" t="inlineStr">
        <is>
          <t>Capacités d'hébergement INSEE, classements Atout France.</t>
        </is>
      </c>
    </row>
    <row r="18" ht="31.5" customHeight="1" s="58">
      <c r="A18" s="75" t="n">
        <v>15</v>
      </c>
      <c r="B18" s="83" t="inlineStr">
        <is>
          <t>Eau</t>
        </is>
      </c>
      <c r="C18" s="87" t="inlineStr">
        <is>
          <t>À cataloguer</t>
        </is>
      </c>
      <c r="D18" s="75" t="n"/>
      <c r="E18" s="83" t="inlineStr">
        <is>
          <t>Hub'Eau (API par thème) et qualité de l'eau potable. Maille = station, pas commune.</t>
        </is>
      </c>
    </row>
    <row r="19" ht="31.5" customHeight="1" s="58">
      <c r="A19" s="75" t="n">
        <v>16</v>
      </c>
      <c r="B19" s="83" t="inlineStr">
        <is>
          <t>Météo &amp; climat</t>
        </is>
      </c>
      <c r="C19" s="87" t="inlineStr">
        <is>
          <t>À cataloguer</t>
        </is>
      </c>
      <c r="D19" s="75" t="n"/>
      <c r="E19" s="83" t="inlineStr">
        <is>
          <t>Météo-France : maille station. Aucun niveau administratif natif, à requalifier en « station la plus proche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2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7" min="1" max="1"/>
    <col width="22" customWidth="1" style="57" min="2" max="2"/>
    <col width="92" customWidth="1" style="57" min="3" max="3"/>
  </cols>
  <sheetData>
    <row r="1" ht="17.35" customHeight="1" s="58">
      <c r="A1" s="81" t="inlineStr">
        <is>
          <t>Valeurs autorisées — à respecter pour l'ajout des 12 catégories restantes</t>
        </is>
      </c>
    </row>
    <row r="3" ht="25.5" customHeight="1" s="58">
      <c r="A3" s="89" t="inlineStr">
        <is>
          <t>Colonne</t>
        </is>
      </c>
      <c r="B3" s="89" t="inlineStr">
        <is>
          <t>Valeur autorisée</t>
        </is>
      </c>
      <c r="C3" s="89" t="inlineStr">
        <is>
          <t>Signification</t>
        </is>
      </c>
    </row>
    <row r="4" ht="30" customHeight="1" s="58">
      <c r="A4" s="67" t="inlineStr">
        <is>
          <t>Commune / Canton / EPCI</t>
        </is>
      </c>
      <c r="B4" s="90" t="inlineStr">
        <is>
          <t>Natif</t>
        </is>
      </c>
      <c r="C4" s="67" t="inlineStr">
        <is>
          <t>La source publie la valeur à ce niveau. Aucun calcul, fiabilité maximale.</t>
        </is>
      </c>
    </row>
    <row r="5" ht="30" customHeight="1" s="58">
      <c r="A5" s="67" t="inlineStr">
        <is>
          <t>Commune / Canton / EPCI</t>
        </is>
      </c>
      <c r="B5" s="91" t="inlineStr">
        <is>
          <t>Agrégeable</t>
        </is>
      </c>
      <c r="C5" s="67" t="inlineStr">
        <is>
          <t>Effectif : la somme des communes est exacte.</t>
        </is>
      </c>
    </row>
    <row r="6" ht="30" customHeight="1" s="58">
      <c r="A6" s="67" t="inlineStr">
        <is>
          <t>Commune / Canton / EPCI</t>
        </is>
      </c>
      <c r="B6" s="77" t="inlineStr">
        <is>
          <t>Recalculé</t>
        </is>
      </c>
      <c r="C6" s="67" t="inlineStr">
        <is>
          <t>Taux, moyenne ou densité : refaire le calcul à partir du numérateur et du dénominateur agrégés.</t>
        </is>
      </c>
    </row>
    <row r="7" ht="30" customHeight="1" s="58">
      <c r="A7" s="67" t="inlineStr">
        <is>
          <t>Commune / Canton / EPCI</t>
        </is>
      </c>
      <c r="B7" s="92" t="inlineStr">
        <is>
          <t>Reconstitué</t>
        </is>
      </c>
      <c r="C7" s="67" t="inlineStr">
        <is>
          <t>Somme possible mais inexacte si le canton contient une commune scindée. Avertissement obligatoire.</t>
        </is>
      </c>
    </row>
    <row r="8" ht="30" customHeight="1" s="58">
      <c r="A8" s="67" t="inlineStr">
        <is>
          <t>Commune / Canton / EPCI</t>
        </is>
      </c>
      <c r="B8" s="93" t="inlineStr">
        <is>
          <t>Partiel</t>
        </is>
      </c>
      <c r="C8" s="67" t="inlineStr">
        <is>
          <t>Donnée existante mais couverture incomplète du territoire.</t>
        </is>
      </c>
    </row>
    <row r="9" ht="30" customHeight="1" s="58">
      <c r="A9" s="67" t="inlineStr">
        <is>
          <t>Commune / Canton / EPCI</t>
        </is>
      </c>
      <c r="B9" s="94" t="inlineStr">
        <is>
          <t>Non</t>
        </is>
      </c>
      <c r="C9" s="67" t="inlineStr">
        <is>
          <t>Indisponible ou non calculable à ce niveau. La fiche ne l'affiche pas.</t>
        </is>
      </c>
    </row>
    <row r="10" ht="30" customHeight="1" s="58">
      <c r="A10" s="67" t="inlineStr">
        <is>
          <t>Commune / Canton / EPCI</t>
        </is>
      </c>
      <c r="B10" s="67" t="inlineStr">
        <is>
          <t>Sans objet</t>
        </is>
      </c>
      <c r="C10" s="67" t="inlineStr">
        <is>
          <t>La notion n'a pas de sens à ce niveau.</t>
        </is>
      </c>
    </row>
    <row r="11" ht="30" customHeight="1" s="58">
      <c r="A11" s="67" t="inlineStr">
        <is>
          <t>Affichage recommandé</t>
        </is>
      </c>
      <c r="B11" s="67" t="inlineStr">
        <is>
          <t>Texte</t>
        </is>
      </c>
      <c r="C11" s="67" t="inlineStr">
        <is>
          <t>Valeur unique commentée.</t>
        </is>
      </c>
    </row>
    <row r="12" ht="30" customHeight="1" s="58">
      <c r="A12" s="67" t="inlineStr">
        <is>
          <t>Affichage recommandé</t>
        </is>
      </c>
      <c r="B12" s="67" t="inlineStr">
        <is>
          <t>Tableau</t>
        </is>
      </c>
      <c r="C12" s="67" t="inlineStr">
        <is>
          <t>Plusieurs modalités ou plusieurs années.</t>
        </is>
      </c>
    </row>
    <row r="13" ht="30" customHeight="1" s="58">
      <c r="A13" s="67" t="inlineStr">
        <is>
          <t>Affichage recommandé</t>
        </is>
      </c>
      <c r="B13" s="67" t="inlineStr">
        <is>
          <t>Graphique</t>
        </is>
      </c>
      <c r="C13" s="67" t="inlineStr">
        <is>
          <t>Évolution, répartition, pyramide.</t>
        </is>
      </c>
    </row>
    <row r="14" ht="30" customHeight="1" s="58">
      <c r="A14" s="67" t="inlineStr">
        <is>
          <t>Affichage recommandé</t>
        </is>
      </c>
      <c r="B14" s="67" t="inlineStr">
        <is>
          <t>Carte</t>
        </is>
      </c>
      <c r="C14" s="67" t="inlineStr">
        <is>
          <t>Donnée localisée ou comparaison entre territoires.</t>
        </is>
      </c>
    </row>
    <row r="15" ht="30" customHeight="1" s="58">
      <c r="A15" s="67" t="inlineStr">
        <is>
          <t>Passage à l'échelle</t>
        </is>
      </c>
      <c r="B15" s="67" t="inlineStr">
        <is>
          <t>National</t>
        </is>
      </c>
      <c r="C15" s="67" t="inlineStr">
        <is>
          <t>Un seul fichier couvre toute la France. Élargir le territoire ne coûte rien.</t>
        </is>
      </c>
    </row>
    <row r="16" ht="30" customHeight="1" s="58">
      <c r="A16" s="67" t="inlineStr">
        <is>
          <t>Passage à l'échelle</t>
        </is>
      </c>
      <c r="B16" s="67" t="inlineStr">
        <is>
          <t>National, couverture variable</t>
        </is>
      </c>
      <c r="C16" s="67" t="inlineStr">
        <is>
          <t>Plateforme nationale, mais le contenu dépend du versement par chaque collectivité. Vérifier la couverture réelle avant d'annoncer l'indicateur.</t>
        </is>
      </c>
    </row>
    <row r="17" ht="30" customHeight="1" s="58">
      <c r="A17" s="67" t="inlineStr">
        <is>
          <t>Passage à l'échelle</t>
        </is>
      </c>
      <c r="B17" s="67" t="inlineStr">
        <is>
          <t>Un flux par territoire</t>
        </is>
      </c>
      <c r="C17" s="67" t="inlineStr">
        <is>
          <t>Un connecteur distinct par autorité organisatrice ou par collectivité. Coût proportionnel au nombre de territoires : c'est le poste le plus lourd à l'échelle régionale.</t>
        </is>
      </c>
    </row>
    <row r="18" ht="30" customHeight="1" s="58">
      <c r="A18" s="67" t="inlineStr">
        <is>
          <t>Passage à l'échelle</t>
        </is>
      </c>
      <c r="B18" s="67" t="inlineStr">
        <is>
          <t>Commune par commune</t>
        </is>
      </c>
      <c r="C18" s="67" t="inlineStr">
        <is>
          <t>Téléchargement unitaire par commune. Coût proportionnel au nombre de communes, à traiter avec reprise sur erreur.</t>
        </is>
      </c>
    </row>
    <row r="19" ht="30" customHeight="1" s="58">
      <c r="A19" s="67" t="inlineStr">
        <is>
          <t>Accès technique</t>
        </is>
      </c>
      <c r="B19" s="67" t="inlineStr">
        <is>
          <t>API REST</t>
        </is>
      </c>
      <c r="C19" s="67" t="inlineStr">
        <is>
          <t>Interrogation unitaire, à mettre en cache.</t>
        </is>
      </c>
    </row>
    <row r="20" ht="30" customHeight="1" s="58">
      <c r="A20" s="67" t="inlineStr">
        <is>
          <t>Accès technique</t>
        </is>
      </c>
      <c r="B20" s="67" t="inlineStr">
        <is>
          <t>Fichier CSV</t>
        </is>
      </c>
      <c r="C20" s="67" t="inlineStr">
        <is>
          <t>Téléchargement périodique, traitement par lot.</t>
        </is>
      </c>
    </row>
    <row r="21" ht="30" customHeight="1" s="58">
      <c r="A21" s="67" t="inlineStr">
        <is>
          <t>Accès technique</t>
        </is>
      </c>
      <c r="B21" s="67" t="inlineStr">
        <is>
          <t>WFS</t>
        </is>
      </c>
      <c r="C21" s="67" t="inlineStr">
        <is>
          <t>Flux géographique, à consommer côté serveur puis stocker en PostGIS.</t>
        </is>
      </c>
    </row>
    <row r="22" ht="30" customHeight="1" s="58">
      <c r="A22" s="67" t="inlineStr">
        <is>
          <t>Accès technique</t>
        </is>
      </c>
      <c r="B22" s="67" t="inlineStr">
        <is>
          <t>WMTS / TMS</t>
        </is>
      </c>
      <c r="C22" s="67" t="inlineStr">
        <is>
          <t>Tuiles de fond de carte, consommées directement par le navigateur.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57" min="1" max="1"/>
    <col width="16" customWidth="1" style="57" min="2" max="4"/>
    <col width="30" customWidth="1" style="57" min="6" max="6"/>
    <col width="10" customWidth="1" style="57" min="7" max="7"/>
  </cols>
  <sheetData>
    <row r="1" ht="17.35" customHeight="1" s="58">
      <c r="A1" s="81" t="inlineStr">
        <is>
          <t>Couverture par niveau</t>
        </is>
      </c>
    </row>
    <row r="2" ht="15" customHeight="1" s="58">
      <c r="A2" s="80" t="inlineStr">
        <is>
          <t>Compteurs automatiques : ils se mettent à jour à mesure que vous complétez l'onglet Catalogue.</t>
        </is>
      </c>
    </row>
    <row r="4" ht="15" customHeight="1" s="58">
      <c r="A4" s="89" t="inlineStr">
        <is>
          <t>Statut</t>
        </is>
      </c>
      <c r="B4" s="89" t="inlineStr">
        <is>
          <t>Commune</t>
        </is>
      </c>
      <c r="C4" s="89" t="inlineStr">
        <is>
          <t>Canton</t>
        </is>
      </c>
      <c r="D4" s="89" t="inlineStr">
        <is>
          <t>EPCI</t>
        </is>
      </c>
    </row>
    <row r="5" ht="15" customHeight="1" s="58">
      <c r="A5" s="95" t="inlineStr">
        <is>
          <t>Natif</t>
        </is>
      </c>
      <c r="B5" s="96">
        <f>COUNTIF(Catalogue!$H$2:$H$67,$A5)</f>
        <v/>
      </c>
      <c r="C5" s="96">
        <f>COUNTIF(Catalogue!$I$2:$I$67,$A5)</f>
        <v/>
      </c>
      <c r="D5" s="96">
        <f>COUNTIF(Catalogue!$J$2:$J$67,$A5)</f>
        <v/>
      </c>
    </row>
    <row r="6" ht="15" customHeight="1" s="58">
      <c r="A6" s="97" t="inlineStr">
        <is>
          <t>Agrégeable</t>
        </is>
      </c>
      <c r="B6" s="96">
        <f>COUNTIF(Catalogue!$H$2:$H$67,$A6)</f>
        <v/>
      </c>
      <c r="C6" s="96">
        <f>COUNTIF(Catalogue!$I$2:$I$67,$A6)</f>
        <v/>
      </c>
      <c r="D6" s="96">
        <f>COUNTIF(Catalogue!$J$2:$J$67,$A6)</f>
        <v/>
      </c>
    </row>
    <row r="7" ht="15" customHeight="1" s="58">
      <c r="A7" s="98" t="inlineStr">
        <is>
          <t>Recalculé</t>
        </is>
      </c>
      <c r="B7" s="96">
        <f>COUNTIF(Catalogue!$H$2:$H$67,$A7)</f>
        <v/>
      </c>
      <c r="C7" s="96">
        <f>COUNTIF(Catalogue!$I$2:$I$67,$A7)</f>
        <v/>
      </c>
      <c r="D7" s="96">
        <f>COUNTIF(Catalogue!$J$2:$J$67,$A7)</f>
        <v/>
      </c>
    </row>
    <row r="8" ht="15" customHeight="1" s="58">
      <c r="A8" s="99" t="inlineStr">
        <is>
          <t>Reconstitué</t>
        </is>
      </c>
      <c r="B8" s="96">
        <f>COUNTIF(Catalogue!$H$2:$H$67,$A8)</f>
        <v/>
      </c>
      <c r="C8" s="96">
        <f>COUNTIF(Catalogue!$I$2:$I$67,$A8)</f>
        <v/>
      </c>
      <c r="D8" s="96">
        <f>COUNTIF(Catalogue!$J$2:$J$67,$A8)</f>
        <v/>
      </c>
    </row>
    <row r="9" ht="15" customHeight="1" s="58">
      <c r="A9" s="100" t="inlineStr">
        <is>
          <t>Partiel</t>
        </is>
      </c>
      <c r="B9" s="96">
        <f>COUNTIF(Catalogue!$H$2:$H$67,$A9)</f>
        <v/>
      </c>
      <c r="C9" s="96">
        <f>COUNTIF(Catalogue!$I$2:$I$67,$A9)</f>
        <v/>
      </c>
      <c r="D9" s="96">
        <f>COUNTIF(Catalogue!$J$2:$J$67,$A9)</f>
        <v/>
      </c>
    </row>
    <row r="10" ht="15" customHeight="1" s="58">
      <c r="A10" s="101" t="inlineStr">
        <is>
          <t>Non</t>
        </is>
      </c>
      <c r="B10" s="96">
        <f>COUNTIF(Catalogue!$H$2:$H$67,$A10)</f>
        <v/>
      </c>
      <c r="C10" s="96">
        <f>COUNTIF(Catalogue!$I$2:$I$67,$A10)</f>
        <v/>
      </c>
      <c r="D10" s="96">
        <f>COUNTIF(Catalogue!$J$2:$J$67,$A10)</f>
        <v/>
      </c>
    </row>
    <row r="11" ht="15" customHeight="1" s="58">
      <c r="A11" s="102" t="inlineStr">
        <is>
          <t>Sans objet</t>
        </is>
      </c>
      <c r="B11" s="96">
        <f>COUNTIF(Catalogue!$H$2:$H$67,$A11)</f>
        <v/>
      </c>
      <c r="C11" s="96">
        <f>COUNTIF(Catalogue!$I$2:$I$67,$A11)</f>
        <v/>
      </c>
      <c r="D11" s="96">
        <f>COUNTIF(Catalogue!$J$2:$J$67,$A11)</f>
        <v/>
      </c>
    </row>
    <row r="12" ht="15" customHeight="1" s="58">
      <c r="A12" s="103" t="inlineStr">
        <is>
          <t>Total</t>
        </is>
      </c>
      <c r="B12" s="104">
        <f>SUM(B5:B11)</f>
        <v/>
      </c>
      <c r="C12" s="104">
        <f>SUM(C5:C11)</f>
        <v/>
      </c>
      <c r="D12" s="104">
        <f>SUM(D5:D11)</f>
        <v/>
      </c>
    </row>
    <row r="14" ht="15" customHeight="1" s="58">
      <c r="A14" s="105" t="inlineStr">
        <is>
          <t>Répartition par catégorie</t>
        </is>
      </c>
      <c r="F14" s="105" t="inlineStr">
        <is>
          <t>Passage à l'échelle</t>
        </is>
      </c>
    </row>
    <row r="15" ht="15" customHeight="1" s="58">
      <c r="A15" s="89" t="inlineStr">
        <is>
          <t>Catégorie</t>
        </is>
      </c>
      <c r="B15" s="89" t="inlineStr">
        <is>
          <t>Nb de données</t>
        </is>
      </c>
      <c r="F15" s="89" t="inlineStr">
        <is>
          <t>Type de source</t>
        </is>
      </c>
      <c r="G15" s="89" t="inlineStr">
        <is>
          <t>Nb</t>
        </is>
      </c>
    </row>
    <row r="16" ht="15" customHeight="1" s="58">
      <c r="A16" s="106" t="inlineStr">
        <is>
          <t>Population &amp; démographie</t>
        </is>
      </c>
      <c r="B16" s="96">
        <f>COUNTIF(Catalogue!$B$2:$B$67,$A16)</f>
        <v/>
      </c>
      <c r="F16" s="107" t="inlineStr">
        <is>
          <t>National</t>
        </is>
      </c>
      <c r="G16" s="96">
        <f>COUNTIF(Catalogue!$P$2:$P$67,$F16)</f>
        <v/>
      </c>
    </row>
    <row r="17" ht="15" customHeight="1" s="58">
      <c r="A17" s="108" t="inlineStr">
        <is>
          <t>Géographie &amp; cartographie</t>
        </is>
      </c>
      <c r="B17" s="96">
        <f>COUNTIF(Catalogue!$B$2:$B$67,$A17)</f>
        <v/>
      </c>
      <c r="F17" s="109" t="inlineStr">
        <is>
          <t>National, couverture variable</t>
        </is>
      </c>
      <c r="G17" s="96">
        <f>COUNTIF(Catalogue!$P$2:$P$67,$F17)</f>
        <v/>
      </c>
    </row>
    <row r="18" ht="15" customHeight="1" s="58">
      <c r="A18" s="98" t="inlineStr">
        <is>
          <t>Transports &amp; mobilité</t>
        </is>
      </c>
      <c r="B18" s="96">
        <f>COUNTIF(Catalogue!$B$2:$B$67,$A18)</f>
        <v/>
      </c>
      <c r="F18" s="110" t="inlineStr">
        <is>
          <t>Un flux par territoire</t>
        </is>
      </c>
      <c r="G18" s="96">
        <f>COUNTIF(Catalogue!$P$2:$P$67,$F18)</f>
        <v/>
      </c>
    </row>
    <row r="19" ht="15" customHeight="1" s="58">
      <c r="A19" s="111" t="inlineStr">
        <is>
          <t>Urbanisme &amp; construction</t>
        </is>
      </c>
      <c r="B19" s="96">
        <f>COUNTIF(Catalogue!$B$2:$B$67,$A19)</f>
        <v/>
      </c>
      <c r="F19" s="112" t="inlineStr">
        <is>
          <t>Commune par commune</t>
        </is>
      </c>
      <c r="G19" s="96">
        <f>COUNTIF(Catalogue!$P$2:$P$67,$F19)</f>
        <v/>
      </c>
    </row>
    <row r="20" ht="15" customHeight="1" s="58">
      <c r="A20" s="113" t="inlineStr">
        <is>
          <t>Politique &amp; démocratie</t>
        </is>
      </c>
      <c r="B20" s="96">
        <f>COUNTIF(Catalogue!$B$2:$B$67,$A20)</f>
        <v/>
      </c>
    </row>
    <row r="21" ht="15" customHeight="1" s="58">
      <c r="A21" s="103" t="inlineStr">
        <is>
          <t>Total catalogué</t>
        </is>
      </c>
      <c r="B21" s="104">
        <f>SUM(B16:B20)</f>
        <v/>
      </c>
    </row>
    <row r="23">
      <c r="A23" s="115" t="inlineStr">
        <is>
          <t>État au</t>
        </is>
      </c>
      <c r="B23" t="inlineStr">
        <is>
          <t>07/09/2026</t>
        </is>
      </c>
    </row>
    <row r="24">
      <c r="A24" t="inlineStr">
        <is>
          <t>Données cataloguées</t>
        </is>
      </c>
      <c r="B24" t="n">
        <v>79</v>
      </c>
    </row>
    <row r="25">
      <c r="A25" t="inlineStr">
        <is>
          <t>Collecteurs en service</t>
        </is>
      </c>
      <c r="B25" t="n">
        <v>16</v>
      </c>
    </row>
    <row r="26">
      <c r="A26" t="inlineStr">
        <is>
          <t>Rubriques ouvertes</t>
        </is>
      </c>
      <c r="B26" t="n">
        <v>7</v>
      </c>
    </row>
    <row r="27">
      <c r="A27" t="inlineStr">
        <is>
          <t>Pages produites</t>
        </is>
      </c>
      <c r="B27" t="inlineStr">
        <is>
          <t>environ 480</t>
        </is>
      </c>
    </row>
    <row r="28">
      <c r="A28" t="inlineStr">
        <is>
          <t>Catégories couvertes</t>
        </is>
      </c>
      <c r="B28" t="inlineStr">
        <is>
          <t>7 sur 16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7" min="1" max="1"/>
    <col width="30" customWidth="1" style="57" min="2" max="2"/>
    <col width="46" customWidth="1" style="57" min="3" max="3"/>
    <col width="62" customWidth="1" style="57" min="4" max="4"/>
    <col width="24" customWidth="1" style="57" min="5" max="5"/>
  </cols>
  <sheetData>
    <row r="1" ht="21.75" customHeight="1" s="58">
      <c r="A1" s="59" t="inlineStr">
        <is>
          <t>Résultats électoraux — modèle de données distinct</t>
        </is>
      </c>
    </row>
    <row r="2" ht="21.75" customHeight="1" s="58">
      <c r="A2" s="60" t="inlineStr">
        <is>
          <t>Les résultats électoraux ne rentrent pas dans la table générique des indicateurs. Ils ont leur propre structure, leur propre maille (le bureau de vote) et leur propre calendrier. Ils partagent en revanche le référentiel de territoires.</t>
        </is>
      </c>
    </row>
    <row r="3" ht="27.75" customHeight="1" s="58">
      <c r="A3" s="61" t="n"/>
    </row>
    <row r="4" ht="21.75" customHeight="1" s="58">
      <c r="A4" s="62" t="inlineStr">
        <is>
          <t>1. Structure des tables</t>
        </is>
      </c>
    </row>
    <row r="5" ht="25.5" customHeight="1" s="58">
      <c r="A5" s="64" t="inlineStr">
        <is>
          <t>Table</t>
        </is>
      </c>
      <c r="B5" s="64" t="inlineStr">
        <is>
          <t>Clés</t>
        </is>
      </c>
      <c r="C5" s="64" t="inlineStr">
        <is>
          <t>Contenu</t>
        </is>
      </c>
      <c r="D5" s="64" t="inlineStr">
        <is>
          <t>Remarque</t>
        </is>
      </c>
    </row>
    <row r="6" ht="45.75" customHeight="1" s="58">
      <c r="A6" s="65" t="inlineStr">
        <is>
          <t>scrutin</t>
        </is>
      </c>
      <c r="B6" s="67" t="inlineStr">
        <is>
          <t>id_scrutin</t>
        </is>
      </c>
      <c r="C6" s="67" t="inlineStr">
        <is>
          <t>Type (présidentielle, législatives, départementales…), date, numéro de tour, libellé.</t>
        </is>
      </c>
      <c r="D6" s="67" t="inlineStr">
        <is>
          <t>Un tour = une ligne. Ne jamais fusionner les deux tours dans un même enregistrement.</t>
        </is>
      </c>
    </row>
    <row r="7" ht="45.75" customHeight="1" s="58">
      <c r="A7" s="65" t="inlineStr">
        <is>
          <t>bureau_vote</t>
        </is>
      </c>
      <c r="B7" s="67" t="inlineStr">
        <is>
          <t>id_scrutin + code_commune + code_bv</t>
        </is>
      </c>
      <c r="C7" s="67" t="inlineStr">
        <is>
          <t>Libellé, adresse, coordonnées si disponibles.</t>
        </is>
      </c>
      <c r="D7" s="67" t="inlineStr">
        <is>
          <t>Rattaché au scrutin et non global : les bureaux sont redécoupés et renumérotés entre deux élections.</t>
        </is>
      </c>
    </row>
    <row r="8" ht="45.75" customHeight="1" s="58">
      <c r="A8" s="65" t="inlineStr">
        <is>
          <t>participation</t>
        </is>
      </c>
      <c r="B8" s="67" t="inlineStr">
        <is>
          <t>id_scrutin + niveau + code</t>
        </is>
      </c>
      <c r="C8" s="67" t="inlineStr">
        <is>
          <t>Inscrits, abstentions, votants, blancs, nuls, exprimés.</t>
        </is>
      </c>
      <c r="D8" s="67" t="inlineStr">
        <is>
          <t>Effectifs uniquement. Les taux se recalculent à l'affichage, jamais stockés.</t>
        </is>
      </c>
    </row>
    <row r="9" ht="45.75" customHeight="1" s="58">
      <c r="A9" s="65" t="inlineStr">
        <is>
          <t>resultat</t>
        </is>
      </c>
      <c r="B9" s="67" t="inlineStr">
        <is>
          <t>id_scrutin + niveau + code + rang</t>
        </is>
      </c>
      <c r="C9" s="67" t="inlineStr">
        <is>
          <t>Nom, prénom, nuance publiée, libellé de liste, voix.</t>
        </is>
      </c>
      <c r="D9" s="67" t="inlineStr">
        <is>
          <t>Voix uniquement. Les pourcentages se recalculent sur les exprimés du même enregistrement.</t>
        </is>
      </c>
    </row>
    <row r="10" ht="45.75" customHeight="1" s="58">
      <c r="A10" s="65" t="inlineStr">
        <is>
          <t>nuance_regroupement</t>
        </is>
      </c>
      <c r="B10" s="67" t="inlineStr">
        <is>
          <t>nuance + id_regroupement</t>
        </is>
      </c>
      <c r="C10" s="67" t="inlineStr">
        <is>
          <t>Correspondance entre nuances publiées et blocs politiques d'affichage.</t>
        </is>
      </c>
      <c r="D10" s="67" t="inlineStr">
        <is>
          <t>Table éditoriale, assumée et datée. C'est un choix de votre part, pas une donnée officielle.</t>
        </is>
      </c>
    </row>
    <row r="12" ht="21.75" customHeight="1" s="58">
      <c r="A12" s="62" t="inlineStr">
        <is>
          <t>2. Règles de conception</t>
        </is>
      </c>
    </row>
    <row r="13" ht="27.75" customHeight="1" s="58">
      <c r="A13" s="61" t="inlineStr">
        <is>
          <t>— Niveau = bureau de vote, commune, canton, EPCI, département, région. Le bureau de vote est un quatrième niveau, propre à l'électoral, qui ne remonte pas dans le reste du modèle.</t>
        </is>
      </c>
    </row>
    <row r="14" ht="27.75" customHeight="1" s="58">
      <c r="A14" s="61" t="inlineStr">
        <is>
          <t>— Stocker la maille la plus fine publiée, puis agréger. Conserver aussi le total communal publié par le ministère et le comparer à la somme des bureaux : tout écart signale une anomalie d'intégration.</t>
        </is>
      </c>
    </row>
    <row r="15" ht="27.75" customHeight="1" s="58">
      <c r="A15" s="61" t="inlineStr">
        <is>
          <t>— Stocker la nuance telle que publiée, sans jamais la corriger. Les regroupements en blocs politiques passent par une table à part, modifiable et réversible.</t>
        </is>
      </c>
    </row>
    <row r="16" ht="27.75" customHeight="1" s="58">
      <c r="A16" s="61" t="inlineStr">
        <is>
          <t>— Ne jamais stocker de pourcentage. Un pourcentage dépend du dénominateur choisi (exprimés ou inscrits) : le figer revient à figer une interprétation.</t>
        </is>
      </c>
    </row>
    <row r="17" ht="27.75" customHeight="1" s="58">
      <c r="A17" s="61" t="inlineStr">
        <is>
          <t>— Partitionner les fichiers publiés par commune. Un fichier par commune contenant tout son historique reste léger, même à l'échelle régionale, et préserve la génération statique.</t>
        </is>
      </c>
    </row>
    <row r="19" ht="21.75" customHeight="1" s="58">
      <c r="A19" s="62" t="inlineStr">
        <is>
          <t>3. Scrutins à intégrer</t>
        </is>
      </c>
    </row>
    <row r="20" ht="21.75" customHeight="1" s="58">
      <c r="A20" s="60" t="inlineStr">
        <is>
          <t>Disponibilité à vérifier scrutin par scrutin. La maille communale remonte loin ; la maille bureau de vote n'est fiable que pour les scrutins récents.</t>
        </is>
      </c>
    </row>
    <row r="21" ht="25.5" customHeight="1" s="58">
      <c r="A21" s="64" t="inlineStr">
        <is>
          <t>Scrutin</t>
        </is>
      </c>
      <c r="B21" s="64" t="inlineStr">
        <is>
          <t>Années</t>
        </is>
      </c>
      <c r="C21" s="64" t="inlineStr">
        <is>
          <t>Maille commune</t>
        </is>
      </c>
      <c r="D21" s="64" t="inlineStr">
        <is>
          <t>Maille canton</t>
        </is>
      </c>
      <c r="E21" s="64" t="inlineStr">
        <is>
          <t>Priorité</t>
        </is>
      </c>
    </row>
    <row r="22" ht="31.5" customHeight="1" s="58">
      <c r="A22" s="114" t="inlineStr">
        <is>
          <t>Présidentielle</t>
        </is>
      </c>
      <c r="B22" s="83" t="inlineStr">
        <is>
          <t>2002, 2007, 2012, 2017, 2022 · puis avril-mai 2027</t>
        </is>
      </c>
      <c r="C22" s="75" t="inlineStr">
        <is>
          <t>Oui</t>
        </is>
      </c>
      <c r="D22" s="75" t="inlineStr">
        <is>
          <t>Par agrégation</t>
        </is>
      </c>
      <c r="E22" s="83" t="inlineStr">
        <is>
          <t>1 — la plus consultée</t>
        </is>
      </c>
    </row>
    <row r="23" ht="31.5" customHeight="1" s="58">
      <c r="A23" s="114" t="inlineStr">
        <is>
          <t>Départementales</t>
        </is>
      </c>
      <c r="B23" s="83" t="inlineStr">
        <is>
          <t>2015, 2021 · puis mars 2028</t>
        </is>
      </c>
      <c r="C23" s="75" t="inlineStr">
        <is>
          <t>Oui</t>
        </is>
      </c>
      <c r="D23" s="75" t="inlineStr">
        <is>
          <t>Native</t>
        </is>
      </c>
      <c r="E23" s="83" t="inlineStr">
        <is>
          <t>1 — seule maille cantonale</t>
        </is>
      </c>
    </row>
    <row r="24" ht="31.5" customHeight="1" s="58">
      <c r="A24" s="114" t="inlineStr">
        <is>
          <t>Cantonales (ancien découpage)</t>
        </is>
      </c>
      <c r="B24" s="83" t="inlineStr">
        <is>
          <t>2004, 2008, 2011</t>
        </is>
      </c>
      <c r="C24" s="75" t="inlineStr">
        <is>
          <t>Oui</t>
        </is>
      </c>
      <c r="D24" s="75" t="inlineStr">
        <is>
          <t>Incomparable</t>
        </is>
      </c>
      <c r="E24" s="83" t="inlineStr">
        <is>
          <t>4 — cantons différents, hors périmètre cantonal</t>
        </is>
      </c>
    </row>
    <row r="25" ht="31.5" customHeight="1" s="58">
      <c r="A25" s="114" t="inlineStr">
        <is>
          <t>Législatives</t>
        </is>
      </c>
      <c r="B25" s="83" t="inlineStr">
        <is>
          <t>2002, 2007, 2012, 2017, 2022, 2024</t>
        </is>
      </c>
      <c r="C25" s="75" t="inlineStr">
        <is>
          <t>Oui</t>
        </is>
      </c>
      <c r="D25" s="75" t="inlineStr">
        <is>
          <t>Par agrégation</t>
        </is>
      </c>
      <c r="E25" s="83" t="inlineStr">
        <is>
          <t>2</t>
        </is>
      </c>
    </row>
    <row r="26" ht="31.5" customHeight="1" s="58">
      <c r="A26" s="114" t="inlineStr">
        <is>
          <t>Européennes</t>
        </is>
      </c>
      <c r="B26" s="83" t="inlineStr">
        <is>
          <t>2004, 2009, 2014, 2019, 2024</t>
        </is>
      </c>
      <c r="C26" s="75" t="inlineStr">
        <is>
          <t>Oui</t>
        </is>
      </c>
      <c r="D26" s="75" t="inlineStr">
        <is>
          <t>Par agrégation</t>
        </is>
      </c>
      <c r="E26" s="83" t="inlineStr">
        <is>
          <t>2 — la plus comparable dans le temps</t>
        </is>
      </c>
    </row>
    <row r="27" ht="31.5" customHeight="1" s="58">
      <c r="A27" s="114" t="inlineStr">
        <is>
          <t>Régionales</t>
        </is>
      </c>
      <c r="B27" s="83" t="inlineStr">
        <is>
          <t>2004, 2010, 2015, 2021 · puis mars 2028</t>
        </is>
      </c>
      <c r="C27" s="75" t="inlineStr">
        <is>
          <t>Oui</t>
        </is>
      </c>
      <c r="D27" s="75" t="inlineStr">
        <is>
          <t>Par agrégation</t>
        </is>
      </c>
      <c r="E27" s="83" t="inlineStr">
        <is>
          <t>3</t>
        </is>
      </c>
    </row>
    <row r="28" ht="31.5" customHeight="1" s="58">
      <c r="A28" s="114" t="inlineStr">
        <is>
          <t>Municipales</t>
        </is>
      </c>
      <c r="B28" s="83" t="inlineStr">
        <is>
          <t>2001, 2008, 2014, 2020, 2026</t>
        </is>
      </c>
      <c r="C28" s="75" t="inlineStr">
        <is>
          <t>Oui</t>
        </is>
      </c>
      <c r="D28" s="75" t="inlineStr">
        <is>
          <t>Sans objet</t>
        </is>
      </c>
      <c r="E28" s="83" t="inlineStr">
        <is>
          <t>3 — pas d'agrégation possible</t>
        </is>
      </c>
    </row>
    <row r="29" ht="31.5" customHeight="1" s="58">
      <c r="A29" s="114" t="inlineStr">
        <is>
          <t>Référendum</t>
        </is>
      </c>
      <c r="B29" s="83" t="inlineStr">
        <is>
          <t>2005</t>
        </is>
      </c>
      <c r="C29" s="75" t="inlineStr">
        <is>
          <t>Oui</t>
        </is>
      </c>
      <c r="D29" s="75" t="inlineStr">
        <is>
          <t>Par agrégation</t>
        </is>
      </c>
      <c r="E29" s="83" t="inlineStr">
        <is>
          <t>4</t>
        </is>
      </c>
    </row>
    <row r="31" ht="21.75" customHeight="1" s="58">
      <c r="A31" s="62" t="inlineStr">
        <is>
          <t>4. Points de vigilance</t>
        </is>
      </c>
    </row>
    <row r="32" ht="27.75" customHeight="1" s="58">
      <c r="A32" s="61" t="inlineStr">
        <is>
          <t>— Le bureau de vote n'est pas stable dans le temps. Périmètres et numérotations changent entre scrutins, sans référentiel historique national. Conséquence : le détail par bureau se consulte scrutin par scrutin ; les séries chronologiques se font à la commune.</t>
        </is>
      </c>
    </row>
    <row r="33" ht="27.75" customHeight="1" s="58">
      <c r="A33" s="61" t="inlineStr">
        <is>
          <t>— Les contours géographiques des bureaux de vote ne sont pas publiés partout. Prévoir un affichage en tableau, et n'envisager la carte que si la couverture existe sur le territoire.</t>
        </is>
      </c>
    </row>
    <row r="34" ht="27.75" customHeight="1" s="58">
      <c r="A34" s="61" t="inlineStr">
        <is>
          <t>— Chaque scrutin ancien a son propre format de fichier. L'intégration est un connecteur par élection, soit une quinzaine de traitements ponctuels. C'est un coût unique : les résultats passés ne changent plus jamais.</t>
        </is>
      </c>
    </row>
    <row r="35" ht="27.75" customHeight="1" s="58">
      <c r="A35" s="61" t="inlineStr">
        <is>
          <t>— Le redécoupage cantonal de 2015 interdit toute comparaison cantonale antérieure. Les cantonales 2004 à 2011 restent intégrables à la maille communale uniquement.</t>
        </is>
      </c>
    </row>
    <row r="36" ht="27.75" customHeight="1" s="58">
      <c r="A36" s="61" t="inlineStr">
        <is>
          <t>— Les fusions de communes cassent les séries longues. Appliquer la table de passage du COG avant tout graphique d'évolution.</t>
        </is>
      </c>
    </row>
    <row r="37" ht="27.75" customHeight="1" s="58">
      <c r="A37" s="61" t="inlineStr">
        <is>
          <t>— Ne jamais comparer deux scrutins de nature différente. Une participation de présidentielle et une participation de départementales ne se lisent pas sur la même échelle.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2026-08-28T20:26:47Z</dcterms:created>
  <dcterms:modified xmlns:dcterms="http://purl.org/dc/terms/" xmlns:xsi="http://www.w3.org/2001/XMLSchema-instance" xsi:type="dcterms:W3CDTF">2026-09-07T23:42:31Z</dcterms:modified>
  <cp:revision>0</cp:revision>
</cp:coreProperties>
</file>